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C-CALIDAD\Desktop\ASEG CALIDAD 2026\"/>
    </mc:Choice>
  </mc:AlternateContent>
  <xr:revisionPtr revIDLastSave="0" documentId="13_ncr:1_{3B2F4F05-6F94-412F-ACDD-53BDC39F51CC}" xr6:coauthVersionLast="47" xr6:coauthVersionMax="47" xr10:uidLastSave="{00000000-0000-0000-0000-000000000000}"/>
  <bookViews>
    <workbookView xWindow="-108" yWindow="-108" windowWidth="23256" windowHeight="12576" tabRatio="1000" xr2:uid="{00000000-000D-0000-FFFF-FFFF00000000}"/>
  </bookViews>
  <sheets>
    <sheet name="Tablero de Indicadores" sheetId="1" r:id="rId1"/>
    <sheet name="IND ESTADO SANITARIO" sheetId="21" r:id="rId2"/>
    <sheet name="IND COBERTURA PLAN CAPACITACIÓN" sheetId="22" r:id="rId3"/>
    <sheet name="IND EFICACIA CAPACITACIONES" sheetId="42" r:id="rId4"/>
    <sheet name="IND TRATAMIENTO PQRSF" sheetId="23" r:id="rId5"/>
    <sheet name="IND SISTEMA GESTION DOCUMENTAL" sheetId="24" r:id="rId6"/>
    <sheet name="IND CONFORMIDAD MICROBIOLOGICAS" sheetId="31" r:id="rId7"/>
    <sheet name="Hoja1" sheetId="2" state="hidden" r:id="rId8"/>
    <sheet name="Hoja2" sheetId="20" state="hidden" r:id="rId9"/>
  </sheets>
  <externalReferences>
    <externalReference r:id="rId10"/>
  </externalReferences>
  <definedNames>
    <definedName name="_xlnm.Print_Area" localSheetId="2">'IND COBERTURA PLAN CAPACITACIÓN'!$A$1:$AC$47</definedName>
    <definedName name="_xlnm.Print_Area" localSheetId="3">'IND EFICACIA CAPACITACIONES'!$A$1:$AC$47</definedName>
    <definedName name="_xlnm.Print_Area" localSheetId="1">'IND ESTADO SANITARIO'!$A$1:$AC$47</definedName>
    <definedName name="_xlnm.Print_Area" localSheetId="5">'IND SISTEMA GESTION DOCUMENTAL'!$A$1:$AC$47</definedName>
    <definedName name="_xlnm.Print_Area" localSheetId="4">'IND TRATAMIENTO PQRSF'!$A$1:$AC$47</definedName>
    <definedName name="FRECUENCIA" localSheetId="2">[1]Hoja1!$A$7:$A$12</definedName>
    <definedName name="FRECUENCIA" localSheetId="3">[1]Hoja1!$A$7:$A$12</definedName>
    <definedName name="FRECUENCIA" localSheetId="1">[1]Hoja1!$A$7:$A$12</definedName>
    <definedName name="FRECUENCIA" localSheetId="5">[1]Hoja1!$A$7:$A$12</definedName>
    <definedName name="FRECUENCIA" localSheetId="4">[1]Hoja1!$A$7:$A$12</definedName>
    <definedName name="Frecuencia">Hoja1!$B$1:$B$5</definedName>
    <definedName name="INDICADORES">[1]Hoja1!$A$2:$A$4</definedName>
    <definedName name="Tipo_Indicadores">Hoja1!$A$1:$A$3</definedName>
    <definedName name="_xlnm.Print_Titles" localSheetId="2">'IND COBERTURA PLAN CAPACITACIÓN'!$1:$10</definedName>
    <definedName name="_xlnm.Print_Titles" localSheetId="3">'IND EFICACIA CAPACITACIONES'!$1:$10</definedName>
    <definedName name="_xlnm.Print_Titles" localSheetId="1">'IND ESTADO SANITARIO'!$1:$10</definedName>
    <definedName name="_xlnm.Print_Titles" localSheetId="5">'IND SISTEMA GESTION DOCUMENTAL'!$1:$10</definedName>
    <definedName name="_xlnm.Print_Titles" localSheetId="4">'IND TRATAMIENTO PQRSF'!$1:$10</definedName>
    <definedName name="_xlnm.Print_Titles" localSheetId="0">'Tablero de Indicadores'!$1:$6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1" l="1"/>
  <c r="D8" i="31"/>
  <c r="F16" i="42"/>
  <c r="F16" i="23"/>
  <c r="F14" i="21"/>
  <c r="U16" i="42"/>
  <c r="F20" i="21"/>
  <c r="U14" i="24" l="1"/>
  <c r="Q33" i="24"/>
  <c r="P33" i="24"/>
  <c r="O33" i="24"/>
  <c r="N33" i="24"/>
  <c r="M33" i="24"/>
  <c r="L33" i="24"/>
  <c r="K33" i="24"/>
  <c r="J33" i="24"/>
  <c r="I33" i="24"/>
  <c r="H33" i="24"/>
  <c r="G33" i="24"/>
  <c r="F33" i="24"/>
  <c r="AA20" i="42"/>
  <c r="Q31" i="42" s="1"/>
  <c r="P31" i="42" s="1"/>
  <c r="O31" i="42" s="1"/>
  <c r="N31" i="42" s="1"/>
  <c r="M31" i="42" s="1"/>
  <c r="L31" i="42" s="1"/>
  <c r="K31" i="42" s="1"/>
  <c r="J31" i="42" s="1"/>
  <c r="I31" i="42" s="1"/>
  <c r="H31" i="42" s="1"/>
  <c r="G31" i="42" s="1"/>
  <c r="F31" i="42" s="1"/>
  <c r="AA18" i="42"/>
  <c r="Y18" i="42"/>
  <c r="AA16" i="42"/>
  <c r="Q29" i="42" s="1"/>
  <c r="P29" i="42" s="1"/>
  <c r="O29" i="42" s="1"/>
  <c r="N29" i="42" s="1"/>
  <c r="M29" i="42" s="1"/>
  <c r="L29" i="42" s="1"/>
  <c r="K29" i="42" s="1"/>
  <c r="J29" i="42" s="1"/>
  <c r="I29" i="42" s="1"/>
  <c r="H29" i="42" s="1"/>
  <c r="G29" i="42" s="1"/>
  <c r="F29" i="42" s="1"/>
  <c r="U14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O30" i="42"/>
  <c r="N30" i="42" s="1"/>
  <c r="M30" i="42" s="1"/>
  <c r="L30" i="42" s="1"/>
  <c r="K30" i="42" s="1"/>
  <c r="J30" i="42" s="1"/>
  <c r="I30" i="42" s="1"/>
  <c r="H30" i="42" s="1"/>
  <c r="G30" i="42" s="1"/>
  <c r="F30" i="42" s="1"/>
  <c r="U20" i="42"/>
  <c r="F20" i="42"/>
  <c r="U18" i="42"/>
  <c r="F18" i="42"/>
  <c r="F14" i="42"/>
  <c r="F18" i="24"/>
  <c r="F14" i="22"/>
  <c r="D27" i="31"/>
  <c r="D26" i="31"/>
  <c r="D25" i="31"/>
  <c r="D24" i="31"/>
  <c r="D23" i="31"/>
  <c r="D22" i="31"/>
  <c r="D21" i="31"/>
  <c r="D20" i="31"/>
  <c r="D19" i="31"/>
  <c r="D18" i="31"/>
  <c r="D17" i="31"/>
  <c r="D16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F18" i="21"/>
  <c r="AA16" i="22"/>
  <c r="Q29" i="22" s="1"/>
  <c r="P29" i="22" s="1"/>
  <c r="O29" i="22" s="1"/>
  <c r="N29" i="22" s="1"/>
  <c r="M29" i="22" s="1"/>
  <c r="L29" i="22" s="1"/>
  <c r="K29" i="22" s="1"/>
  <c r="J29" i="22" s="1"/>
  <c r="I29" i="22" s="1"/>
  <c r="H29" i="22" s="1"/>
  <c r="G29" i="22" s="1"/>
  <c r="F29" i="22" s="1"/>
  <c r="F33" i="23"/>
  <c r="F33" i="21"/>
  <c r="E16" i="31" s="1"/>
  <c r="B27" i="31"/>
  <c r="B26" i="31"/>
  <c r="B25" i="31"/>
  <c r="B24" i="31"/>
  <c r="B23" i="31"/>
  <c r="B22" i="31"/>
  <c r="B21" i="31"/>
  <c r="B20" i="31"/>
  <c r="B19" i="31"/>
  <c r="B18" i="31"/>
  <c r="B17" i="31"/>
  <c r="B16" i="31"/>
  <c r="U14" i="22"/>
  <c r="K11" i="31"/>
  <c r="K10" i="31"/>
  <c r="G10" i="31"/>
  <c r="G9" i="31"/>
  <c r="AA20" i="24"/>
  <c r="Q31" i="24" s="1"/>
  <c r="P31" i="24" s="1"/>
  <c r="O31" i="24" s="1"/>
  <c r="N31" i="24" s="1"/>
  <c r="M31" i="24" s="1"/>
  <c r="L31" i="24" s="1"/>
  <c r="K31" i="24" s="1"/>
  <c r="J31" i="24" s="1"/>
  <c r="I31" i="24" s="1"/>
  <c r="H31" i="24" s="1"/>
  <c r="G31" i="24" s="1"/>
  <c r="F31" i="24" s="1"/>
  <c r="Y18" i="24"/>
  <c r="AA18" i="24"/>
  <c r="AA16" i="24"/>
  <c r="Q29" i="24" s="1"/>
  <c r="P29" i="24" s="1"/>
  <c r="O29" i="24" s="1"/>
  <c r="N29" i="24" s="1"/>
  <c r="M29" i="24" s="1"/>
  <c r="L29" i="24" s="1"/>
  <c r="K29" i="24" s="1"/>
  <c r="J29" i="24" s="1"/>
  <c r="I29" i="24" s="1"/>
  <c r="H29" i="24" s="1"/>
  <c r="G29" i="24" s="1"/>
  <c r="F29" i="24" s="1"/>
  <c r="U18" i="24"/>
  <c r="U16" i="24"/>
  <c r="F20" i="24"/>
  <c r="F16" i="24"/>
  <c r="F12" i="24"/>
  <c r="O30" i="24"/>
  <c r="N30" i="24"/>
  <c r="M30" i="24"/>
  <c r="L30" i="24" s="1"/>
  <c r="K30" i="24" s="1"/>
  <c r="J30" i="24" s="1"/>
  <c r="I30" i="24" s="1"/>
  <c r="H30" i="24" s="1"/>
  <c r="G30" i="24" s="1"/>
  <c r="F30" i="24" s="1"/>
  <c r="U20" i="24"/>
  <c r="F14" i="24"/>
  <c r="Y18" i="22"/>
  <c r="AA20" i="23"/>
  <c r="Q31" i="23" s="1"/>
  <c r="P31" i="23" s="1"/>
  <c r="O31" i="23" s="1"/>
  <c r="N31" i="23" s="1"/>
  <c r="M31" i="23" s="1"/>
  <c r="L31" i="23" s="1"/>
  <c r="K31" i="23" s="1"/>
  <c r="J31" i="23" s="1"/>
  <c r="I31" i="23" s="1"/>
  <c r="H31" i="23" s="1"/>
  <c r="G31" i="23" s="1"/>
  <c r="F31" i="23" s="1"/>
  <c r="Y18" i="23"/>
  <c r="AA18" i="23"/>
  <c r="AA16" i="23"/>
  <c r="Q29" i="23" s="1"/>
  <c r="P29" i="23" s="1"/>
  <c r="O29" i="23" s="1"/>
  <c r="N29" i="23" s="1"/>
  <c r="M29" i="23" s="1"/>
  <c r="L29" i="23" s="1"/>
  <c r="K29" i="23" s="1"/>
  <c r="J29" i="23" s="1"/>
  <c r="I29" i="23" s="1"/>
  <c r="H29" i="23" s="1"/>
  <c r="G29" i="23" s="1"/>
  <c r="F29" i="23" s="1"/>
  <c r="U20" i="23"/>
  <c r="U18" i="23"/>
  <c r="U16" i="23"/>
  <c r="U14" i="23"/>
  <c r="F20" i="23"/>
  <c r="F18" i="23"/>
  <c r="F12" i="23"/>
  <c r="Q33" i="23"/>
  <c r="P33" i="23"/>
  <c r="O33" i="23"/>
  <c r="N33" i="23"/>
  <c r="M33" i="23"/>
  <c r="L33" i="23"/>
  <c r="K33" i="23"/>
  <c r="J33" i="23"/>
  <c r="I33" i="23"/>
  <c r="H33" i="23"/>
  <c r="G33" i="23"/>
  <c r="O30" i="23"/>
  <c r="N30" i="23"/>
  <c r="M30" i="23" s="1"/>
  <c r="L30" i="23" s="1"/>
  <c r="K30" i="23" s="1"/>
  <c r="J30" i="23" s="1"/>
  <c r="I30" i="23" s="1"/>
  <c r="H30" i="23" s="1"/>
  <c r="G30" i="23" s="1"/>
  <c r="F30" i="23" s="1"/>
  <c r="F14" i="23"/>
  <c r="AA20" i="22"/>
  <c r="Q31" i="22" s="1"/>
  <c r="P31" i="22" s="1"/>
  <c r="O31" i="22" s="1"/>
  <c r="N31" i="22" s="1"/>
  <c r="M31" i="22" s="1"/>
  <c r="L31" i="22" s="1"/>
  <c r="K31" i="22" s="1"/>
  <c r="J31" i="22" s="1"/>
  <c r="I31" i="22" s="1"/>
  <c r="H31" i="22" s="1"/>
  <c r="G31" i="22" s="1"/>
  <c r="F31" i="22" s="1"/>
  <c r="AA18" i="22"/>
  <c r="U18" i="22"/>
  <c r="F20" i="22"/>
  <c r="F18" i="22"/>
  <c r="F16" i="22"/>
  <c r="F12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O30" i="22"/>
  <c r="N30" i="22" s="1"/>
  <c r="M30" i="22" s="1"/>
  <c r="L30" i="22" s="1"/>
  <c r="K30" i="22" s="1"/>
  <c r="J30" i="22" s="1"/>
  <c r="I30" i="22" s="1"/>
  <c r="H30" i="22" s="1"/>
  <c r="G30" i="22" s="1"/>
  <c r="F30" i="22" s="1"/>
  <c r="AA20" i="21"/>
  <c r="Q31" i="21" s="1"/>
  <c r="P31" i="21" s="1"/>
  <c r="O31" i="21" s="1"/>
  <c r="N31" i="21" s="1"/>
  <c r="M31" i="21" s="1"/>
  <c r="L31" i="21" s="1"/>
  <c r="K31" i="21" s="1"/>
  <c r="J31" i="21" s="1"/>
  <c r="I31" i="21" s="1"/>
  <c r="H31" i="21" s="1"/>
  <c r="G31" i="21" s="1"/>
  <c r="F31" i="21" s="1"/>
  <c r="AA18" i="21"/>
  <c r="Y18" i="21"/>
  <c r="AA16" i="21"/>
  <c r="U14" i="21"/>
  <c r="F21" i="31" s="1"/>
  <c r="F16" i="21"/>
  <c r="U18" i="21"/>
  <c r="F12" i="21"/>
  <c r="Q33" i="21"/>
  <c r="E27" i="31" s="1"/>
  <c r="P33" i="21"/>
  <c r="E26" i="31"/>
  <c r="O33" i="21"/>
  <c r="E25" i="31" s="1"/>
  <c r="N33" i="21"/>
  <c r="E24" i="31" s="1"/>
  <c r="M33" i="21"/>
  <c r="E23" i="31" s="1"/>
  <c r="L33" i="21"/>
  <c r="E22" i="31" s="1"/>
  <c r="K33" i="21"/>
  <c r="E21" i="31" s="1"/>
  <c r="J33" i="21"/>
  <c r="E20" i="31" s="1"/>
  <c r="I33" i="21"/>
  <c r="E19" i="31" s="1"/>
  <c r="H33" i="21"/>
  <c r="E18" i="31" s="1"/>
  <c r="G33" i="21"/>
  <c r="E17" i="31"/>
  <c r="F17" i="31" l="1"/>
  <c r="F23" i="31"/>
  <c r="F20" i="31"/>
  <c r="F27" i="31"/>
  <c r="F25" i="31"/>
  <c r="F26" i="31"/>
  <c r="F18" i="31"/>
  <c r="F24" i="31"/>
  <c r="F16" i="31"/>
  <c r="F19" i="31"/>
  <c r="F22" i="31"/>
</calcChain>
</file>

<file path=xl/sharedStrings.xml><?xml version="1.0" encoding="utf-8"?>
<sst xmlns="http://schemas.openxmlformats.org/spreadsheetml/2006/main" count="355" uniqueCount="139">
  <si>
    <t>TABLA DE REGISTRO DE INDICADORES</t>
  </si>
  <si>
    <t>PROCESO:</t>
  </si>
  <si>
    <t>ASEGURAMIENTO DE CALIDAD</t>
  </si>
  <si>
    <t>VIGENCIA:</t>
  </si>
  <si>
    <t>ITEM</t>
  </si>
  <si>
    <t>TIPO INDICADOR</t>
  </si>
  <si>
    <t>NOMBRE DEL INDICADOR</t>
  </si>
  <si>
    <t>FÓRMULA</t>
  </si>
  <si>
    <t>UNIDAD DE MEDIDA</t>
  </si>
  <si>
    <t>META</t>
  </si>
  <si>
    <t>RANGO DE GESTIÓN</t>
  </si>
  <si>
    <t>FRECUENCIA</t>
  </si>
  <si>
    <t>RESPONSABLE</t>
  </si>
  <si>
    <t>NÚMERO</t>
  </si>
  <si>
    <t>Satisfactorio
(Mayor )</t>
  </si>
  <si>
    <t>Aceptable
(Entre)</t>
  </si>
  <si>
    <t>Crítico
(Menor)</t>
  </si>
  <si>
    <t>PORCENTAJE</t>
  </si>
  <si>
    <t>Eficacia</t>
  </si>
  <si>
    <t>Cumplimiento Estado Sanitario en los puntos de venta</t>
  </si>
  <si>
    <t>(Total PDV sobre 90% / Total PDV)*100</t>
  </si>
  <si>
    <t>Trimestral</t>
  </si>
  <si>
    <t>Coordinadora Aseguramiento de Calidad y SIG</t>
  </si>
  <si>
    <t>Mensual</t>
  </si>
  <si>
    <t>CUMPLIMIENTO DE LA EFICACIA EN EL TRATAMIENTO DE PQRSF</t>
  </si>
  <si>
    <t xml:space="preserve">
(PQR resueltas / PQR Recibidas) x 100</t>
  </si>
  <si>
    <t>Efectividad</t>
  </si>
  <si>
    <t>SISTEMA DE GESTIÓN DOCUMENTAL</t>
  </si>
  <si>
    <t>(Total de documentos creados y actualizados/Total documentos proyectados)*100</t>
  </si>
  <si>
    <t>MEJORA CONTINUA PROVEEDORES DE MATERIA PRIMAS E INSUMOS</t>
  </si>
  <si>
    <t xml:space="preserve">
(Total Proveedores evaluados/ Total Proveedores programados)*100</t>
  </si>
  <si>
    <t>Coordinadora Aseguramiento de Calidad y SIG - Coordinador de Compras</t>
  </si>
  <si>
    <t>Cumplimiento con el 80% de proveedores
(Total Proveedores cumpliendo con criterios de calidad/Total de proveedores) *100</t>
  </si>
  <si>
    <t>INDICADOR CUMPLIMIENTO DEL PLAN DE CAPACITACIÓN Y FORMACIÓN</t>
  </si>
  <si>
    <t>CODIGO</t>
  </si>
  <si>
    <t>VERSION</t>
  </si>
  <si>
    <t xml:space="preserve">FECHA DE APROBACIÓN </t>
  </si>
  <si>
    <t>PAGINA</t>
  </si>
  <si>
    <t>1 de 1</t>
  </si>
  <si>
    <t>PROCESO</t>
  </si>
  <si>
    <t>CLASIFICACIÓN</t>
  </si>
  <si>
    <t>RANGO</t>
  </si>
  <si>
    <t>FORMULA</t>
  </si>
  <si>
    <t>FRECUENCIA DE MEDICIÓN</t>
  </si>
  <si>
    <t>SATISFACTORIO</t>
  </si>
  <si>
    <t xml:space="preserve">&gt; </t>
  </si>
  <si>
    <t>UNIDAD</t>
  </si>
  <si>
    <t>ACEPTABLE</t>
  </si>
  <si>
    <t>RESPONSABLE MEDICIÓN</t>
  </si>
  <si>
    <t>VIGENCIA</t>
  </si>
  <si>
    <t>CRÍTICO</t>
  </si>
  <si>
    <t xml:space="preserve">&lt; </t>
  </si>
  <si>
    <t>PARAMETROS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</si>
  <si>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</si>
  <si>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</si>
  <si>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</si>
  <si>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</si>
  <si>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</si>
  <si>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</si>
  <si>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</si>
  <si>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</si>
  <si>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</si>
  <si>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</si>
  <si>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</si>
  <si>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</si>
  <si>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Observaciones:</t>
  </si>
  <si>
    <t>Capacitaciones realizadas</t>
  </si>
  <si>
    <t>Capacitaciones programadas</t>
  </si>
  <si>
    <t>Rango Mayor (Meta)</t>
  </si>
  <si>
    <t>Rango Menor</t>
  </si>
  <si>
    <t>Avance</t>
  </si>
  <si>
    <t>ANÁLISIS</t>
  </si>
  <si>
    <t>ACCIÓN A SEGUIR</t>
  </si>
  <si>
    <t>FECHA SEGUIMIENTO</t>
  </si>
  <si>
    <t>SEGUIMIENTO A LA IMPLEMENTACIÓN</t>
  </si>
  <si>
    <t>Coordinadora de Gestion Humana</t>
  </si>
  <si>
    <t>CUMPLIMIENTO DE INDICADOR DE BIENESTAR LABORAL</t>
  </si>
  <si>
    <t xml:space="preserve">OBSERVACIONES: </t>
  </si>
  <si>
    <t>Numerador</t>
  </si>
  <si>
    <t>Denominador</t>
  </si>
  <si>
    <t>Actividades realizadas</t>
  </si>
  <si>
    <t>Actividades programadas</t>
  </si>
  <si>
    <t>Coordinador de Gestión Humana</t>
  </si>
  <si>
    <t>&lt;</t>
  </si>
  <si>
    <t>&gt;</t>
  </si>
  <si>
    <t>Cubrimiento de vacantes</t>
  </si>
  <si>
    <t xml:space="preserve">Vacantes </t>
  </si>
  <si>
    <t>INDICADOR EVALUACIÓN DE DESEMPEÑO</t>
  </si>
  <si>
    <t>OBSERVACIONES:</t>
  </si>
  <si>
    <t>Evaluaciones realizadas</t>
  </si>
  <si>
    <t>Programados Evaluar</t>
  </si>
  <si>
    <t>FICHA TÉCNICA 
INDICADORES DE GESTIÓN</t>
  </si>
  <si>
    <t>CÓDIGO:</t>
  </si>
  <si>
    <t>VERSIÓN:</t>
  </si>
  <si>
    <t>FECHA DE APROBACIÓN</t>
  </si>
  <si>
    <t>PÁGINA</t>
  </si>
  <si>
    <t>1. DATOS DEL INDICADOR</t>
  </si>
  <si>
    <t xml:space="preserve">NOMBRE DEL INDICADOR </t>
  </si>
  <si>
    <t>CÓDIGO O CONSECUTIVO</t>
  </si>
  <si>
    <t>N/A</t>
  </si>
  <si>
    <t>OBJETIVO</t>
  </si>
  <si>
    <t>FÓRMULA PARA EL CALCULO</t>
  </si>
  <si>
    <t>FUENTES DE INFORMACIÓN</t>
  </si>
  <si>
    <t>PERIODICIDAD DE CALCULO</t>
  </si>
  <si>
    <t>PROCESO RELACIONADOS</t>
  </si>
  <si>
    <t>UNIDAD DEL INDICADOR</t>
  </si>
  <si>
    <r>
      <t>TENDENCIA</t>
    </r>
    <r>
      <rPr>
        <i/>
        <sz val="10"/>
        <rFont val="Arial"/>
        <family val="2"/>
      </rPr>
      <t xml:space="preserve"> (Creciente o Decreciente)</t>
    </r>
  </si>
  <si>
    <t>creciente</t>
  </si>
  <si>
    <t>NATURALEZA</t>
  </si>
  <si>
    <t>Eficacia                        Eficiencia</t>
  </si>
  <si>
    <t>RESPONSABLE DE LA MEDICIÓN</t>
  </si>
  <si>
    <t>Efectividad                    Otro ___________</t>
  </si>
  <si>
    <t>2. RESULTADOS AÑO _________</t>
  </si>
  <si>
    <t xml:space="preserve">PERIODO </t>
  </si>
  <si>
    <t>DATO 1:</t>
  </si>
  <si>
    <t xml:space="preserve">DATO 2: </t>
  </si>
  <si>
    <t>RESULTADO</t>
  </si>
  <si>
    <t xml:space="preserve">OBSERVACIONES </t>
  </si>
  <si>
    <t>3. ANÁLISIS Y SEGUIMIENTO</t>
  </si>
  <si>
    <t>4. PLAN DE ACCIÓN</t>
  </si>
  <si>
    <t>ACTIVIDAD</t>
  </si>
  <si>
    <t>FECHA DE INICIO</t>
  </si>
  <si>
    <t>FECHA ENTREGA</t>
  </si>
  <si>
    <t>SEGUIMIENTO</t>
  </si>
  <si>
    <t>5. OBSERVACIONES</t>
  </si>
  <si>
    <t>Eficiencia</t>
  </si>
  <si>
    <t>Bimestral</t>
  </si>
  <si>
    <t>Semestral</t>
  </si>
  <si>
    <t>Anual</t>
  </si>
  <si>
    <t>INDICADOR CAPACITACIONES Y ACTIVIDADES PROGRAMADAS</t>
  </si>
  <si>
    <t>% CUMPLIMIENTO DE PROVEEDORES</t>
  </si>
  <si>
    <t>3 Veces al año</t>
  </si>
  <si>
    <t>COBERTURA PLAN CAPACITACION PERSONAL MANIPULADOR DE ALIMENTOS</t>
  </si>
  <si>
    <t>(Total personal asistente / Total personal programado) x 100</t>
  </si>
  <si>
    <t>EFICACIA PLAN DE CAPACITACIONES PERSONAL MANIPULADOR DE ALIMENTOS</t>
  </si>
  <si>
    <t>EFICACIA PLAN DE CAPACITACIÓN MANIPULADOR DE ALIMENTOS</t>
  </si>
  <si>
    <t>(Total de evaluaciones aprobadas/Total de evaluaciones realizadas)x 100</t>
  </si>
  <si>
    <t>CONFORMIDAD MUESTRAS MICROBIOLOGICAS</t>
  </si>
  <si>
    <t>(Total muestras conformes/Total muestras realizadas) x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</si>
</sst>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\-"/>
    <numFmt numFmtId="166" formatCode="_ * #,##0.00_ ;_ * \-#,##0.00_ ;_ * &quot;-&quot;??_ ;_ @_ 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indexed="8"/>
      <name val="Arial"/>
      <family val="2"/>
    </font>
    <font>
      <u/>
      <sz val="11"/>
      <color theme="1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Kunstler Script"/>
      <family val="4"/>
    </font>
    <font>
      <sz val="10"/>
      <name val="Arial"/>
      <family val="2"/>
    </font>
    <font>
      <b/>
      <sz val="16"/>
      <color indexed="8"/>
      <name val="Kunstler Script"/>
      <family val="4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8"/>
      <color theme="0"/>
      <name val="Arial"/>
      <family val="2"/>
    </font>
    <font>
      <b/>
      <sz val="12"/>
      <color indexed="8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2"/>
      <color theme="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sz val="11"/>
      <color theme="1"/>
      <name val="Arial Nova"/>
      <family val="2"/>
    </font>
    <font>
      <b/>
      <u/>
      <sz val="18"/>
      <color theme="1"/>
      <name val="Arial Nova"/>
      <family val="2"/>
    </font>
    <font>
      <b/>
      <sz val="18"/>
      <color theme="1"/>
      <name val="Arial Nova"/>
      <family val="2"/>
    </font>
    <font>
      <sz val="18"/>
      <color theme="1"/>
      <name val="Arial Nova"/>
      <family val="2"/>
    </font>
    <font>
      <b/>
      <sz val="10"/>
      <color indexed="8"/>
      <name val="Arial Nova"/>
      <family val="2"/>
    </font>
    <font>
      <sz val="11"/>
      <color indexed="8"/>
      <name val="Arial Nova"/>
      <family val="2"/>
    </font>
    <font>
      <b/>
      <sz val="12"/>
      <color indexed="8"/>
      <name val="Arial Nova"/>
      <family val="2"/>
    </font>
    <font>
      <b/>
      <sz val="11"/>
      <color indexed="8"/>
      <name val="Arial Nova"/>
      <family val="2"/>
    </font>
    <font>
      <sz val="12"/>
      <color indexed="8"/>
      <name val="Arial Nova"/>
      <family val="2"/>
    </font>
    <font>
      <b/>
      <sz val="9"/>
      <color indexed="8"/>
      <name val="Arial Nova"/>
      <family val="2"/>
    </font>
    <font>
      <b/>
      <sz val="16"/>
      <color rgb="FF000000"/>
      <name val="Arial Nova"/>
      <family val="2"/>
    </font>
    <font>
      <b/>
      <sz val="16"/>
      <color indexed="8"/>
      <name val="Arial Nova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/>
    <xf numFmtId="166" fontId="11" fillId="0" borderId="0" applyFont="0" applyFill="0" applyBorder="0" applyAlignment="0" applyProtection="0"/>
    <xf numFmtId="9" fontId="31" fillId="0" borderId="0" applyFont="0" applyFill="0" applyBorder="0" applyAlignment="0" applyProtection="0"/>
  </cellStyleXfs>
  <cellXfs count="453">
    <xf numFmtId="0" fontId="0" fillId="0" borderId="0" xfId="0"/>
    <xf numFmtId="0" fontId="13" fillId="0" borderId="0" xfId="0" applyFont="1" applyProtection="1">
      <protection locked="0"/>
    </xf>
    <xf numFmtId="164" fontId="13" fillId="0" borderId="0" xfId="0" applyNumberFormat="1" applyFont="1"/>
    <xf numFmtId="0" fontId="13" fillId="0" borderId="0" xfId="0" applyFont="1"/>
    <xf numFmtId="9" fontId="21" fillId="0" borderId="2" xfId="0" applyNumberFormat="1" applyFont="1" applyBorder="1" applyAlignment="1">
      <alignment horizontal="center" vertical="center"/>
    </xf>
    <xf numFmtId="9" fontId="19" fillId="0" borderId="2" xfId="0" applyNumberFormat="1" applyFont="1" applyBorder="1" applyAlignment="1">
      <alignment horizontal="center" vertical="center"/>
    </xf>
    <xf numFmtId="0" fontId="13" fillId="0" borderId="11" xfId="0" applyFont="1" applyBorder="1" applyProtection="1">
      <protection locked="0"/>
    </xf>
    <xf numFmtId="0" fontId="13" fillId="0" borderId="10" xfId="0" applyFont="1" applyBorder="1" applyProtection="1">
      <protection locked="0"/>
    </xf>
    <xf numFmtId="0" fontId="13" fillId="0" borderId="9" xfId="0" applyFont="1" applyBorder="1" applyProtection="1">
      <protection locked="0"/>
    </xf>
    <xf numFmtId="0" fontId="13" fillId="0" borderId="16" xfId="0" applyFont="1" applyBorder="1" applyProtection="1">
      <protection locked="0"/>
    </xf>
    <xf numFmtId="0" fontId="13" fillId="0" borderId="5" xfId="0" applyFont="1" applyBorder="1" applyProtection="1">
      <protection locked="0"/>
    </xf>
    <xf numFmtId="0" fontId="13" fillId="0" borderId="14" xfId="0" applyFont="1" applyBorder="1" applyProtection="1">
      <protection locked="0"/>
    </xf>
    <xf numFmtId="0" fontId="13" fillId="0" borderId="13" xfId="0" applyFont="1" applyBorder="1" applyProtection="1">
      <protection locked="0"/>
    </xf>
    <xf numFmtId="0" fontId="13" fillId="0" borderId="12" xfId="0" applyFont="1" applyBorder="1" applyProtection="1"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14" fillId="0" borderId="0" xfId="0" applyFont="1" applyAlignment="1" applyProtection="1">
      <alignment horizontal="center"/>
      <protection locked="0"/>
    </xf>
    <xf numFmtId="1" fontId="19" fillId="0" borderId="2" xfId="0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 applyProtection="1">
      <alignment horizontal="center" wrapText="1"/>
      <protection locked="0"/>
    </xf>
    <xf numFmtId="0" fontId="20" fillId="0" borderId="13" xfId="0" applyFont="1" applyBorder="1" applyAlignment="1" applyProtection="1">
      <alignment horizontal="center" vertical="top" wrapText="1"/>
      <protection locked="0"/>
    </xf>
    <xf numFmtId="0" fontId="20" fillId="0" borderId="13" xfId="0" applyFont="1" applyBorder="1" applyAlignment="1" applyProtection="1">
      <alignment horizontal="center" vertical="top"/>
      <protection locked="0"/>
    </xf>
    <xf numFmtId="0" fontId="17" fillId="13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9" fontId="13" fillId="0" borderId="2" xfId="0" applyNumberFormat="1" applyFont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/>
    </xf>
    <xf numFmtId="9" fontId="15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9" fontId="13" fillId="0" borderId="0" xfId="0" applyNumberFormat="1" applyFont="1" applyAlignment="1">
      <alignment horizontal="center" vertical="center"/>
    </xf>
    <xf numFmtId="0" fontId="11" fillId="16" borderId="0" xfId="2" applyFill="1" applyAlignment="1" applyProtection="1">
      <alignment wrapText="1"/>
      <protection locked="0"/>
    </xf>
    <xf numFmtId="0" fontId="23" fillId="16" borderId="34" xfId="2" applyFont="1" applyFill="1" applyBorder="1" applyAlignment="1" applyProtection="1">
      <alignment vertical="center"/>
      <protection locked="0"/>
    </xf>
    <xf numFmtId="0" fontId="24" fillId="16" borderId="35" xfId="2" applyFont="1" applyFill="1" applyBorder="1" applyAlignment="1" applyProtection="1">
      <alignment horizontal="center" vertical="center" wrapText="1"/>
      <protection locked="0"/>
    </xf>
    <xf numFmtId="0" fontId="25" fillId="16" borderId="0" xfId="2" applyFont="1" applyFill="1" applyAlignment="1" applyProtection="1">
      <alignment wrapText="1"/>
      <protection locked="0"/>
    </xf>
    <xf numFmtId="0" fontId="11" fillId="0" borderId="0" xfId="2" applyAlignment="1" applyProtection="1">
      <alignment wrapText="1"/>
      <protection locked="0"/>
    </xf>
    <xf numFmtId="0" fontId="23" fillId="16" borderId="32" xfId="2" applyFont="1" applyFill="1" applyBorder="1" applyAlignment="1" applyProtection="1">
      <alignment vertical="center"/>
      <protection locked="0"/>
    </xf>
    <xf numFmtId="0" fontId="24" fillId="16" borderId="36" xfId="2" applyFont="1" applyFill="1" applyBorder="1" applyAlignment="1" applyProtection="1">
      <alignment horizontal="center" vertical="center" wrapText="1"/>
      <protection locked="0"/>
    </xf>
    <xf numFmtId="14" fontId="24" fillId="16" borderId="36" xfId="2" applyNumberFormat="1" applyFont="1" applyFill="1" applyBorder="1" applyAlignment="1" applyProtection="1">
      <alignment horizontal="center" vertical="center" wrapText="1"/>
      <protection locked="0"/>
    </xf>
    <xf numFmtId="49" fontId="23" fillId="16" borderId="33" xfId="2" applyNumberFormat="1" applyFont="1" applyFill="1" applyBorder="1" applyAlignment="1" applyProtection="1">
      <alignment horizontal="left" vertical="center"/>
      <protection locked="0"/>
    </xf>
    <xf numFmtId="0" fontId="24" fillId="16" borderId="31" xfId="2" applyFont="1" applyFill="1" applyBorder="1" applyAlignment="1" applyProtection="1">
      <alignment horizontal="center" vertical="center" wrapText="1"/>
      <protection locked="0"/>
    </xf>
    <xf numFmtId="0" fontId="25" fillId="16" borderId="13" xfId="2" applyFont="1" applyFill="1" applyBorder="1" applyAlignment="1" applyProtection="1">
      <alignment wrapText="1"/>
      <protection locked="0"/>
    </xf>
    <xf numFmtId="0" fontId="25" fillId="18" borderId="6" xfId="2" applyFont="1" applyFill="1" applyBorder="1" applyAlignment="1" applyProtection="1">
      <alignment horizontal="center" wrapText="1"/>
      <protection locked="0"/>
    </xf>
    <xf numFmtId="0" fontId="25" fillId="16" borderId="0" xfId="2" applyFont="1" applyFill="1" applyAlignment="1" applyProtection="1">
      <alignment horizontal="center" wrapText="1"/>
      <protection locked="0"/>
    </xf>
    <xf numFmtId="0" fontId="11" fillId="18" borderId="12" xfId="2" applyFill="1" applyBorder="1" applyAlignment="1" applyProtection="1">
      <alignment wrapText="1"/>
      <protection locked="0"/>
    </xf>
    <xf numFmtId="0" fontId="11" fillId="16" borderId="10" xfId="2" applyFill="1" applyBorder="1" applyAlignment="1" applyProtection="1">
      <alignment wrapText="1"/>
      <protection locked="0"/>
    </xf>
    <xf numFmtId="0" fontId="11" fillId="16" borderId="9" xfId="2" applyFill="1" applyBorder="1" applyAlignment="1" applyProtection="1">
      <alignment wrapText="1"/>
      <protection locked="0"/>
    </xf>
    <xf numFmtId="0" fontId="11" fillId="16" borderId="5" xfId="2" applyFill="1" applyBorder="1" applyAlignment="1" applyProtection="1">
      <alignment wrapText="1"/>
      <protection locked="0"/>
    </xf>
    <xf numFmtId="0" fontId="11" fillId="16" borderId="12" xfId="2" applyFill="1" applyBorder="1" applyAlignment="1" applyProtection="1">
      <alignment wrapText="1"/>
      <protection locked="0"/>
    </xf>
    <xf numFmtId="0" fontId="11" fillId="18" borderId="30" xfId="2" applyFill="1" applyBorder="1" applyAlignment="1" applyProtection="1">
      <alignment wrapText="1"/>
      <protection locked="0"/>
    </xf>
    <xf numFmtId="0" fontId="11" fillId="0" borderId="29" xfId="2" applyBorder="1" applyAlignment="1" applyProtection="1">
      <alignment vertical="center" wrapText="1"/>
      <protection locked="0"/>
    </xf>
    <xf numFmtId="0" fontId="11" fillId="0" borderId="29" xfId="2" applyBorder="1" applyAlignment="1" applyProtection="1">
      <alignment horizontal="center" vertical="center" wrapText="1"/>
      <protection locked="0"/>
    </xf>
    <xf numFmtId="15" fontId="11" fillId="0" borderId="29" xfId="2" applyNumberFormat="1" applyBorder="1" applyAlignment="1" applyProtection="1">
      <alignment horizontal="center" vertical="center" wrapText="1"/>
      <protection locked="0"/>
    </xf>
    <xf numFmtId="0" fontId="11" fillId="0" borderId="2" xfId="2" applyBorder="1" applyAlignment="1" applyProtection="1">
      <alignment vertical="center" wrapText="1"/>
      <protection locked="0"/>
    </xf>
    <xf numFmtId="17" fontId="11" fillId="0" borderId="2" xfId="2" applyNumberFormat="1" applyBorder="1" applyAlignment="1" applyProtection="1">
      <alignment horizontal="center" vertical="center" wrapText="1"/>
      <protection locked="0"/>
    </xf>
    <xf numFmtId="0" fontId="11" fillId="0" borderId="27" xfId="2" applyBorder="1" applyAlignment="1" applyProtection="1">
      <alignment vertical="center" wrapText="1"/>
      <protection locked="0"/>
    </xf>
    <xf numFmtId="0" fontId="11" fillId="0" borderId="27" xfId="2" applyBorder="1" applyAlignment="1" applyProtection="1">
      <alignment horizontal="center" vertical="center" wrapText="1"/>
      <protection locked="0"/>
    </xf>
    <xf numFmtId="17" fontId="11" fillId="0" borderId="27" xfId="2" applyNumberFormat="1" applyBorder="1" applyAlignment="1" applyProtection="1">
      <alignment horizontal="center" vertical="center" wrapText="1"/>
      <protection locked="0"/>
    </xf>
    <xf numFmtId="0" fontId="11" fillId="0" borderId="2" xfId="2" applyBorder="1" applyAlignment="1" applyProtection="1">
      <alignment wrapText="1"/>
      <protection locked="0"/>
    </xf>
    <xf numFmtId="0" fontId="11" fillId="0" borderId="17" xfId="2" applyBorder="1" applyAlignment="1" applyProtection="1">
      <alignment wrapText="1"/>
      <protection locked="0"/>
    </xf>
    <xf numFmtId="0" fontId="17" fillId="13" borderId="2" xfId="0" applyFont="1" applyFill="1" applyBorder="1" applyAlignment="1" applyProtection="1">
      <alignment horizontal="center" vertical="center" wrapText="1"/>
      <protection locked="0"/>
    </xf>
    <xf numFmtId="0" fontId="17" fillId="14" borderId="2" xfId="0" applyFont="1" applyFill="1" applyBorder="1" applyAlignment="1" applyProtection="1">
      <alignment horizontal="center" vertical="center" wrapText="1"/>
      <protection locked="0"/>
    </xf>
    <xf numFmtId="9" fontId="21" fillId="0" borderId="2" xfId="0" applyNumberFormat="1" applyFont="1" applyBorder="1" applyAlignment="1" applyProtection="1">
      <alignment horizontal="center" vertical="center"/>
      <protection locked="0"/>
    </xf>
    <xf numFmtId="1" fontId="21" fillId="0" borderId="0" xfId="0" applyNumberFormat="1" applyFont="1" applyAlignment="1" applyProtection="1">
      <alignment horizontal="center" vertical="center"/>
      <protection locked="0"/>
    </xf>
    <xf numFmtId="0" fontId="15" fillId="15" borderId="17" xfId="0" applyFont="1" applyFill="1" applyBorder="1" applyAlignment="1" applyProtection="1">
      <alignment horizontal="center"/>
      <protection locked="0"/>
    </xf>
    <xf numFmtId="0" fontId="15" fillId="15" borderId="18" xfId="0" applyFont="1" applyFill="1" applyBorder="1" applyAlignment="1" applyProtection="1">
      <alignment horizontal="center"/>
      <protection locked="0"/>
    </xf>
    <xf numFmtId="0" fontId="15" fillId="15" borderId="19" xfId="0" applyFont="1" applyFill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0" fontId="11" fillId="0" borderId="2" xfId="2" applyBorder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25" fillId="15" borderId="58" xfId="2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Border="1"/>
    <xf numFmtId="0" fontId="16" fillId="0" borderId="0" xfId="0" applyFont="1" applyAlignment="1">
      <alignment vertical="center" wrapText="1"/>
    </xf>
    <xf numFmtId="0" fontId="13" fillId="0" borderId="13" xfId="0" applyFont="1" applyBorder="1"/>
    <xf numFmtId="0" fontId="13" fillId="0" borderId="12" xfId="0" applyFont="1" applyBorder="1"/>
    <xf numFmtId="0" fontId="19" fillId="0" borderId="2" xfId="4" applyNumberFormat="1" applyFont="1" applyFill="1" applyBorder="1" applyAlignment="1" applyProtection="1">
      <alignment horizontal="center" vertical="center"/>
      <protection locked="0"/>
    </xf>
    <xf numFmtId="0" fontId="19" fillId="0" borderId="2" xfId="4" applyNumberFormat="1" applyFont="1" applyBorder="1" applyAlignment="1" applyProtection="1">
      <alignment horizontal="center" vertical="center"/>
      <protection locked="0"/>
    </xf>
    <xf numFmtId="0" fontId="11" fillId="2" borderId="0" xfId="0" applyFont="1" applyFill="1" applyProtection="1">
      <protection locked="0"/>
    </xf>
    <xf numFmtId="0" fontId="10" fillId="2" borderId="16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5" xfId="0" applyFill="1" applyBorder="1" applyProtection="1">
      <protection locked="0"/>
    </xf>
    <xf numFmtId="0" fontId="1" fillId="2" borderId="16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vertic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0" fontId="1" fillId="2" borderId="0" xfId="0" applyFont="1" applyFill="1" applyProtection="1">
      <protection locked="0"/>
    </xf>
    <xf numFmtId="0" fontId="1" fillId="2" borderId="5" xfId="0" applyFont="1" applyFill="1" applyBorder="1" applyProtection="1"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8" fillId="2" borderId="14" xfId="0" applyFont="1" applyFill="1" applyBorder="1" applyAlignment="1" applyProtection="1">
      <alignment vertical="top" wrapText="1"/>
      <protection locked="0"/>
    </xf>
    <xf numFmtId="0" fontId="1" fillId="2" borderId="13" xfId="0" applyFont="1" applyFill="1" applyBorder="1" applyAlignment="1" applyProtection="1">
      <alignment vertical="top" wrapText="1"/>
      <protection locked="0"/>
    </xf>
    <xf numFmtId="0" fontId="1" fillId="2" borderId="12" xfId="0" applyFont="1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28" fillId="2" borderId="0" xfId="0" applyFont="1" applyFill="1" applyProtection="1">
      <protection locked="0"/>
    </xf>
    <xf numFmtId="0" fontId="7" fillId="8" borderId="8" xfId="0" applyFont="1" applyFill="1" applyBorder="1" applyAlignment="1" applyProtection="1">
      <alignment horizontal="center" vertical="center" wrapText="1"/>
      <protection locked="0"/>
    </xf>
    <xf numFmtId="0" fontId="7" fillId="6" borderId="8" xfId="0" applyFont="1" applyFill="1" applyBorder="1" applyAlignment="1" applyProtection="1">
      <alignment horizontal="center" vertical="center" wrapText="1"/>
      <protection locked="0"/>
    </xf>
    <xf numFmtId="0" fontId="3" fillId="4" borderId="32" xfId="0" applyFont="1" applyFill="1" applyBorder="1" applyAlignment="1" applyProtection="1">
      <alignment horizontal="center" vertical="center"/>
      <protection locked="0"/>
    </xf>
    <xf numFmtId="0" fontId="25" fillId="15" borderId="49" xfId="2" applyFont="1" applyFill="1" applyBorder="1" applyAlignment="1">
      <alignment horizontal="center" vertical="center" wrapText="1"/>
    </xf>
    <xf numFmtId="0" fontId="25" fillId="15" borderId="50" xfId="2" applyFont="1" applyFill="1" applyBorder="1" applyAlignment="1">
      <alignment horizontal="center" vertical="center" wrapText="1"/>
    </xf>
    <xf numFmtId="9" fontId="11" fillId="16" borderId="52" xfId="4" applyFont="1" applyFill="1" applyBorder="1" applyAlignment="1" applyProtection="1">
      <alignment horizontal="center" vertical="center" wrapText="1"/>
    </xf>
    <xf numFmtId="0" fontId="11" fillId="16" borderId="39" xfId="4" applyNumberFormat="1" applyFont="1" applyFill="1" applyBorder="1" applyAlignment="1" applyProtection="1">
      <alignment horizontal="center" vertical="center" wrapText="1"/>
    </xf>
    <xf numFmtId="9" fontId="11" fillId="16" borderId="39" xfId="4" applyFont="1" applyFill="1" applyBorder="1" applyAlignment="1" applyProtection="1">
      <alignment horizontal="center" vertical="center" wrapText="1"/>
    </xf>
    <xf numFmtId="9" fontId="11" fillId="16" borderId="3" xfId="4" applyFont="1" applyFill="1" applyBorder="1" applyAlignment="1" applyProtection="1">
      <alignment horizontal="center" vertical="center" wrapText="1"/>
    </xf>
    <xf numFmtId="0" fontId="11" fillId="16" borderId="2" xfId="4" applyNumberFormat="1" applyFont="1" applyFill="1" applyBorder="1" applyAlignment="1" applyProtection="1">
      <alignment horizontal="center" vertical="center" wrapText="1"/>
    </xf>
    <xf numFmtId="9" fontId="11" fillId="16" borderId="1" xfId="4" applyFont="1" applyFill="1" applyBorder="1" applyAlignment="1" applyProtection="1">
      <alignment horizontal="center" vertical="center" wrapText="1"/>
    </xf>
    <xf numFmtId="0" fontId="25" fillId="15" borderId="39" xfId="2" applyFont="1" applyFill="1" applyBorder="1" applyAlignment="1">
      <alignment horizontal="center" vertical="center" wrapText="1"/>
    </xf>
    <xf numFmtId="0" fontId="25" fillId="15" borderId="2" xfId="2" applyFont="1" applyFill="1" applyBorder="1" applyAlignment="1">
      <alignment horizontal="center" vertical="center" wrapText="1"/>
    </xf>
    <xf numFmtId="0" fontId="25" fillId="15" borderId="27" xfId="2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9" fontId="3" fillId="2" borderId="29" xfId="0" applyNumberFormat="1" applyFont="1" applyFill="1" applyBorder="1" applyAlignment="1">
      <alignment horizontal="center" vertical="center" wrapText="1"/>
    </xf>
    <xf numFmtId="0" fontId="3" fillId="2" borderId="62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2" borderId="52" xfId="1" quotePrefix="1" applyFill="1" applyBorder="1" applyAlignment="1" applyProtection="1">
      <alignment horizontal="center" vertical="center" wrapText="1"/>
      <protection locked="0"/>
    </xf>
    <xf numFmtId="0" fontId="3" fillId="2" borderId="39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4" fillId="2" borderId="63" xfId="1" applyFill="1" applyBorder="1" applyAlignment="1" applyProtection="1">
      <alignment horizontal="center" vertical="center" wrapText="1"/>
      <protection locked="0"/>
    </xf>
    <xf numFmtId="0" fontId="4" fillId="2" borderId="63" xfId="1" quotePrefix="1" applyFill="1" applyBorder="1" applyAlignment="1" applyProtection="1">
      <alignment horizontal="center" vertical="center" wrapText="1"/>
      <protection locked="0"/>
    </xf>
    <xf numFmtId="0" fontId="4" fillId="2" borderId="3" xfId="1" applyFill="1" applyBorder="1" applyAlignment="1" applyProtection="1">
      <alignment horizontal="center" vertical="center" wrapText="1"/>
      <protection locked="0"/>
    </xf>
    <xf numFmtId="0" fontId="3" fillId="0" borderId="50" xfId="0" applyFont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9" fontId="21" fillId="0" borderId="0" xfId="0" applyNumberFormat="1" applyFont="1" applyAlignment="1" applyProtection="1">
      <alignment horizontal="center" vertical="center"/>
      <protection locked="0"/>
    </xf>
    <xf numFmtId="9" fontId="19" fillId="0" borderId="2" xfId="4" applyFont="1" applyFill="1" applyBorder="1" applyAlignment="1" applyProtection="1">
      <alignment horizontal="center" vertical="center"/>
    </xf>
    <xf numFmtId="9" fontId="19" fillId="0" borderId="2" xfId="4" applyFont="1" applyFill="1" applyBorder="1" applyAlignment="1" applyProtection="1">
      <alignment horizontal="center" vertical="center"/>
      <protection locked="0"/>
    </xf>
    <xf numFmtId="9" fontId="19" fillId="0" borderId="0" xfId="4" applyFont="1" applyBorder="1" applyAlignment="1" applyProtection="1">
      <alignment horizontal="center" vertical="center"/>
      <protection locked="0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5" xfId="0" applyFont="1" applyFill="1" applyBorder="1" applyAlignment="1" applyProtection="1">
      <alignment horizontal="center" wrapText="1"/>
      <protection locked="0"/>
    </xf>
    <xf numFmtId="0" fontId="36" fillId="2" borderId="5" xfId="0" applyFont="1" applyFill="1" applyBorder="1" applyProtection="1">
      <protection locked="0"/>
    </xf>
    <xf numFmtId="0" fontId="36" fillId="2" borderId="15" xfId="0" applyFont="1" applyFill="1" applyBorder="1" applyProtection="1">
      <protection locked="0"/>
    </xf>
    <xf numFmtId="0" fontId="38" fillId="0" borderId="0" xfId="0" applyFont="1"/>
    <xf numFmtId="164" fontId="38" fillId="0" borderId="0" xfId="0" applyNumberFormat="1" applyFont="1"/>
    <xf numFmtId="0" fontId="38" fillId="0" borderId="0" xfId="0" applyFont="1" applyAlignment="1">
      <alignment vertical="center"/>
    </xf>
    <xf numFmtId="0" fontId="40" fillId="0" borderId="2" xfId="0" applyFont="1" applyBorder="1" applyAlignment="1">
      <alignment horizontal="center" vertical="center"/>
    </xf>
    <xf numFmtId="9" fontId="40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165" fontId="41" fillId="0" borderId="2" xfId="0" applyNumberFormat="1" applyFont="1" applyBorder="1" applyAlignment="1">
      <alignment horizontal="center" vertical="center"/>
    </xf>
    <xf numFmtId="0" fontId="38" fillId="9" borderId="2" xfId="0" applyFont="1" applyFill="1" applyBorder="1" applyAlignment="1">
      <alignment horizontal="center" vertical="center"/>
    </xf>
    <xf numFmtId="9" fontId="38" fillId="0" borderId="2" xfId="0" applyNumberFormat="1" applyFont="1" applyBorder="1" applyAlignment="1">
      <alignment horizontal="center" vertical="center"/>
    </xf>
    <xf numFmtId="9" fontId="38" fillId="0" borderId="0" xfId="0" applyNumberFormat="1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38" fillId="0" borderId="0" xfId="0" applyFont="1" applyAlignment="1">
      <alignment horizontal="center" vertical="center"/>
    </xf>
    <xf numFmtId="9" fontId="38" fillId="0" borderId="0" xfId="4" applyFont="1" applyBorder="1" applyAlignment="1" applyProtection="1">
      <alignment horizontal="center" vertical="center"/>
    </xf>
    <xf numFmtId="0" fontId="38" fillId="10" borderId="2" xfId="0" applyFont="1" applyFill="1" applyBorder="1" applyAlignment="1">
      <alignment horizontal="center" vertical="center"/>
    </xf>
    <xf numFmtId="1" fontId="38" fillId="0" borderId="0" xfId="0" applyNumberFormat="1" applyFont="1" applyAlignment="1">
      <alignment horizontal="center" vertical="center"/>
    </xf>
    <xf numFmtId="1" fontId="41" fillId="0" borderId="2" xfId="0" applyNumberFormat="1" applyFont="1" applyBorder="1" applyAlignment="1">
      <alignment horizontal="center" vertical="center"/>
    </xf>
    <xf numFmtId="0" fontId="38" fillId="11" borderId="2" xfId="0" applyFont="1" applyFill="1" applyBorder="1" applyAlignment="1">
      <alignment horizontal="center" vertical="center"/>
    </xf>
    <xf numFmtId="0" fontId="12" fillId="0" borderId="0" xfId="0" applyFont="1" applyProtection="1">
      <protection locked="0"/>
    </xf>
    <xf numFmtId="0" fontId="12" fillId="0" borderId="20" xfId="0" applyFont="1" applyBorder="1" applyProtection="1">
      <protection locked="0"/>
    </xf>
    <xf numFmtId="0" fontId="12" fillId="0" borderId="21" xfId="0" applyFont="1" applyBorder="1" applyProtection="1">
      <protection locked="0"/>
    </xf>
    <xf numFmtId="0" fontId="12" fillId="0" borderId="22" xfId="0" applyFont="1" applyBorder="1" applyProtection="1">
      <protection locked="0"/>
    </xf>
    <xf numFmtId="0" fontId="13" fillId="0" borderId="23" xfId="0" applyFont="1" applyBorder="1" applyProtection="1">
      <protection locked="0"/>
    </xf>
    <xf numFmtId="0" fontId="13" fillId="0" borderId="24" xfId="0" applyFont="1" applyBorder="1" applyProtection="1">
      <protection locked="0"/>
    </xf>
    <xf numFmtId="0" fontId="12" fillId="0" borderId="23" xfId="0" applyFont="1" applyBorder="1" applyProtection="1">
      <protection locked="0"/>
    </xf>
    <xf numFmtId="0" fontId="12" fillId="0" borderId="24" xfId="0" applyFont="1" applyBorder="1" applyProtection="1">
      <protection locked="0"/>
    </xf>
    <xf numFmtId="0" fontId="13" fillId="0" borderId="25" xfId="0" applyFont="1" applyBorder="1" applyProtection="1">
      <protection locked="0"/>
    </xf>
    <xf numFmtId="0" fontId="13" fillId="0" borderId="15" xfId="0" applyFont="1" applyBorder="1" applyProtection="1">
      <protection locked="0"/>
    </xf>
    <xf numFmtId="0" fontId="13" fillId="0" borderId="26" xfId="0" applyFont="1" applyBorder="1" applyProtection="1">
      <protection locked="0"/>
    </xf>
    <xf numFmtId="0" fontId="41" fillId="0" borderId="0" xfId="0" applyFont="1" applyProtection="1">
      <protection locked="0"/>
    </xf>
    <xf numFmtId="0" fontId="39" fillId="0" borderId="21" xfId="0" applyFont="1" applyBorder="1" applyProtection="1">
      <protection locked="0"/>
    </xf>
    <xf numFmtId="0" fontId="41" fillId="0" borderId="24" xfId="0" applyFont="1" applyBorder="1" applyProtection="1">
      <protection locked="0"/>
    </xf>
    <xf numFmtId="0" fontId="41" fillId="0" borderId="23" xfId="0" applyFont="1" applyBorder="1" applyProtection="1">
      <protection locked="0"/>
    </xf>
    <xf numFmtId="0" fontId="41" fillId="0" borderId="25" xfId="0" applyFont="1" applyBorder="1" applyProtection="1">
      <protection locked="0"/>
    </xf>
    <xf numFmtId="0" fontId="41" fillId="0" borderId="15" xfId="0" applyFont="1" applyBorder="1" applyProtection="1">
      <protection locked="0"/>
    </xf>
    <xf numFmtId="0" fontId="41" fillId="0" borderId="26" xfId="0" applyFont="1" applyBorder="1" applyProtection="1">
      <protection locked="0"/>
    </xf>
    <xf numFmtId="0" fontId="12" fillId="0" borderId="0" xfId="0" applyFont="1" applyAlignment="1" applyProtection="1">
      <alignment vertical="center"/>
      <protection locked="0"/>
    </xf>
    <xf numFmtId="0" fontId="39" fillId="0" borderId="2" xfId="0" applyFont="1" applyBorder="1" applyProtection="1">
      <protection locked="0"/>
    </xf>
    <xf numFmtId="0" fontId="39" fillId="0" borderId="17" xfId="0" applyFont="1" applyBorder="1" applyProtection="1">
      <protection locked="0"/>
    </xf>
    <xf numFmtId="0" fontId="39" fillId="0" borderId="18" xfId="0" applyFont="1" applyBorder="1" applyProtection="1">
      <protection locked="0"/>
    </xf>
    <xf numFmtId="0" fontId="39" fillId="0" borderId="19" xfId="0" applyFont="1" applyBorder="1" applyProtection="1">
      <protection locked="0"/>
    </xf>
    <xf numFmtId="0" fontId="41" fillId="0" borderId="29" xfId="0" applyFont="1" applyBorder="1" applyProtection="1">
      <protection locked="0"/>
    </xf>
    <xf numFmtId="0" fontId="41" fillId="0" borderId="20" xfId="0" applyFont="1" applyBorder="1" applyProtection="1">
      <protection locked="0"/>
    </xf>
    <xf numFmtId="0" fontId="41" fillId="0" borderId="21" xfId="0" applyFont="1" applyBorder="1" applyProtection="1">
      <protection locked="0"/>
    </xf>
    <xf numFmtId="0" fontId="41" fillId="0" borderId="22" xfId="0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13" fillId="0" borderId="21" xfId="0" applyFont="1" applyBorder="1" applyProtection="1">
      <protection locked="0"/>
    </xf>
    <xf numFmtId="0" fontId="13" fillId="0" borderId="22" xfId="0" applyFont="1" applyBorder="1" applyProtection="1">
      <protection locked="0"/>
    </xf>
    <xf numFmtId="0" fontId="41" fillId="0" borderId="2" xfId="0" applyFont="1" applyBorder="1" applyProtection="1">
      <protection locked="0"/>
    </xf>
    <xf numFmtId="0" fontId="41" fillId="0" borderId="17" xfId="0" applyFont="1" applyBorder="1" applyProtection="1">
      <protection locked="0"/>
    </xf>
    <xf numFmtId="9" fontId="41" fillId="0" borderId="2" xfId="4" applyFont="1" applyFill="1" applyBorder="1" applyAlignment="1" applyProtection="1">
      <alignment horizontal="center" vertical="center" wrapText="1"/>
    </xf>
    <xf numFmtId="9" fontId="38" fillId="0" borderId="2" xfId="4" applyFont="1" applyBorder="1" applyAlignment="1" applyProtection="1">
      <alignment horizontal="center" vertical="center"/>
    </xf>
    <xf numFmtId="9" fontId="19" fillId="0" borderId="2" xfId="4" applyFont="1" applyBorder="1" applyAlignment="1">
      <alignment horizontal="center" vertical="center"/>
    </xf>
    <xf numFmtId="0" fontId="39" fillId="0" borderId="27" xfId="0" applyFont="1" applyBorder="1" applyProtection="1">
      <protection locked="0"/>
    </xf>
    <xf numFmtId="0" fontId="3" fillId="2" borderId="29" xfId="0" applyFont="1" applyFill="1" applyBorder="1" applyAlignment="1">
      <alignment horizontal="justify" vertical="center" wrapText="1"/>
    </xf>
    <xf numFmtId="165" fontId="41" fillId="0" borderId="2" xfId="0" applyNumberFormat="1" applyFont="1" applyBorder="1" applyAlignment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0" fontId="10" fillId="2" borderId="10" xfId="0" applyFont="1" applyFill="1" applyBorder="1" applyAlignment="1" applyProtection="1">
      <alignment horizontal="center" vertical="center" wrapText="1"/>
      <protection locked="0"/>
    </xf>
    <xf numFmtId="0" fontId="10" fillId="2" borderId="9" xfId="0" applyFont="1" applyFill="1" applyBorder="1" applyAlignment="1" applyProtection="1">
      <alignment horizontal="center" vertical="center" wrapText="1"/>
      <protection locked="0"/>
    </xf>
    <xf numFmtId="0" fontId="6" fillId="5" borderId="8" xfId="0" applyFont="1" applyFill="1" applyBorder="1" applyAlignment="1" applyProtection="1">
      <alignment horizontal="center" vertical="center" wrapText="1"/>
      <protection locked="0"/>
    </xf>
    <xf numFmtId="0" fontId="6" fillId="5" borderId="4" xfId="0" applyFont="1" applyFill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 wrapText="1"/>
      <protection locked="0"/>
    </xf>
    <xf numFmtId="0" fontId="6" fillId="5" borderId="16" xfId="0" applyFont="1" applyFill="1" applyBorder="1" applyAlignment="1" applyProtection="1">
      <alignment horizontal="center" vertical="center" wrapText="1"/>
      <protection locked="0"/>
    </xf>
    <xf numFmtId="0" fontId="6" fillId="3" borderId="8" xfId="0" applyFont="1" applyFill="1" applyBorder="1" applyAlignment="1" applyProtection="1">
      <alignment horizontal="center" vertical="center" textRotation="90" wrapText="1"/>
      <protection locked="0"/>
    </xf>
    <xf numFmtId="0" fontId="6" fillId="3" borderId="4" xfId="0" applyFont="1" applyFill="1" applyBorder="1" applyAlignment="1" applyProtection="1">
      <alignment horizontal="center" vertical="center" textRotation="90" wrapText="1"/>
      <protection locked="0"/>
    </xf>
    <xf numFmtId="0" fontId="6" fillId="5" borderId="10" xfId="0" applyFont="1" applyFill="1" applyBorder="1" applyAlignment="1" applyProtection="1">
      <alignment horizontal="center" vertical="center" wrapText="1"/>
      <protection locked="0"/>
    </xf>
    <xf numFmtId="0" fontId="6" fillId="5" borderId="9" xfId="0" applyFont="1" applyFill="1" applyBorder="1" applyAlignment="1" applyProtection="1">
      <alignment horizontal="center" vertical="center" wrapText="1"/>
      <protection locked="0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7" fillId="7" borderId="11" xfId="0" applyFont="1" applyFill="1" applyBorder="1" applyAlignment="1" applyProtection="1">
      <alignment horizontal="center" vertical="center" wrapText="1"/>
      <protection locked="0"/>
    </xf>
    <xf numFmtId="0" fontId="7" fillId="7" borderId="9" xfId="0" applyFont="1" applyFill="1" applyBorder="1" applyAlignment="1" applyProtection="1">
      <alignment horizontal="center" vertical="center" wrapText="1"/>
      <protection locked="0"/>
    </xf>
    <xf numFmtId="0" fontId="32" fillId="2" borderId="0" xfId="0" applyFont="1" applyFill="1" applyAlignment="1" applyProtection="1">
      <alignment horizontal="center" vertical="center" wrapText="1"/>
      <protection locked="0"/>
    </xf>
    <xf numFmtId="0" fontId="32" fillId="2" borderId="5" xfId="0" applyFont="1" applyFill="1" applyBorder="1" applyAlignment="1" applyProtection="1">
      <alignment horizontal="center" vertical="center" wrapText="1"/>
      <protection locked="0"/>
    </xf>
    <xf numFmtId="0" fontId="35" fillId="2" borderId="0" xfId="0" applyFont="1" applyFill="1" applyAlignment="1" applyProtection="1">
      <alignment horizont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21" xfId="0" applyFont="1" applyBorder="1" applyAlignment="1" applyProtection="1">
      <alignment horizontal="center" vertical="center"/>
      <protection locked="0"/>
    </xf>
    <xf numFmtId="0" fontId="43" fillId="0" borderId="22" xfId="0" applyFont="1" applyBorder="1" applyAlignment="1" applyProtection="1">
      <alignment horizontal="center" vertical="center"/>
      <protection locked="0"/>
    </xf>
    <xf numFmtId="0" fontId="43" fillId="0" borderId="23" xfId="0" applyFont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43" fillId="0" borderId="24" xfId="0" applyFont="1" applyBorder="1" applyAlignment="1" applyProtection="1">
      <alignment horizontal="center" vertical="center"/>
      <protection locked="0"/>
    </xf>
    <xf numFmtId="0" fontId="43" fillId="0" borderId="25" xfId="0" applyFont="1" applyBorder="1" applyAlignment="1" applyProtection="1">
      <alignment horizontal="center" vertical="center"/>
      <protection locked="0"/>
    </xf>
    <xf numFmtId="0" fontId="43" fillId="0" borderId="15" xfId="0" applyFont="1" applyBorder="1" applyAlignment="1" applyProtection="1">
      <alignment horizontal="center" vertical="center"/>
      <protection locked="0"/>
    </xf>
    <xf numFmtId="0" fontId="43" fillId="0" borderId="26" xfId="0" applyFont="1" applyBorder="1" applyAlignment="1" applyProtection="1">
      <alignment horizontal="center" vertical="center"/>
      <protection locked="0"/>
    </xf>
    <xf numFmtId="0" fontId="39" fillId="0" borderId="27" xfId="0" applyFont="1" applyBorder="1" applyAlignment="1" applyProtection="1">
      <alignment horizontal="left" vertical="center"/>
      <protection locked="0"/>
    </xf>
    <xf numFmtId="0" fontId="39" fillId="0" borderId="29" xfId="0" applyFont="1" applyBorder="1" applyAlignment="1" applyProtection="1">
      <alignment horizontal="left" vertical="center"/>
      <protection locked="0"/>
    </xf>
    <xf numFmtId="0" fontId="39" fillId="0" borderId="27" xfId="0" applyFont="1" applyBorder="1" applyAlignment="1" applyProtection="1">
      <alignment horizontal="left" vertical="center" wrapText="1"/>
      <protection locked="0"/>
    </xf>
    <xf numFmtId="0" fontId="39" fillId="0" borderId="28" xfId="0" applyFont="1" applyBorder="1" applyAlignment="1" applyProtection="1">
      <alignment horizontal="left" vertical="center" wrapText="1"/>
      <protection locked="0"/>
    </xf>
    <xf numFmtId="0" fontId="39" fillId="0" borderId="29" xfId="0" applyFont="1" applyBorder="1" applyAlignment="1" applyProtection="1">
      <alignment horizontal="left" vertical="center" wrapText="1"/>
      <protection locked="0"/>
    </xf>
    <xf numFmtId="0" fontId="41" fillId="0" borderId="21" xfId="0" applyFont="1" applyBorder="1" applyAlignment="1" applyProtection="1">
      <alignment horizontal="center"/>
      <protection locked="0"/>
    </xf>
    <xf numFmtId="0" fontId="41" fillId="0" borderId="22" xfId="0" applyFont="1" applyBorder="1" applyAlignment="1" applyProtection="1">
      <alignment horizontal="center"/>
      <protection locked="0"/>
    </xf>
    <xf numFmtId="164" fontId="37" fillId="0" borderId="17" xfId="0" applyNumberFormat="1" applyFont="1" applyBorder="1" applyAlignment="1">
      <alignment horizontal="center" vertical="center" wrapText="1"/>
    </xf>
    <xf numFmtId="164" fontId="37" fillId="0" borderId="18" xfId="0" applyNumberFormat="1" applyFont="1" applyBorder="1" applyAlignment="1">
      <alignment horizontal="center" vertical="center" wrapText="1"/>
    </xf>
    <xf numFmtId="164" fontId="33" fillId="0" borderId="19" xfId="0" applyNumberFormat="1" applyFont="1" applyBorder="1"/>
    <xf numFmtId="165" fontId="39" fillId="0" borderId="17" xfId="0" applyNumberFormat="1" applyFont="1" applyBorder="1" applyAlignment="1">
      <alignment horizontal="left" vertical="center" indent="1"/>
    </xf>
    <xf numFmtId="165" fontId="39" fillId="0" borderId="18" xfId="0" applyNumberFormat="1" applyFont="1" applyBorder="1" applyAlignment="1">
      <alignment horizontal="left" vertical="center" indent="1"/>
    </xf>
    <xf numFmtId="165" fontId="39" fillId="0" borderId="19" xfId="0" applyNumberFormat="1" applyFont="1" applyBorder="1" applyAlignment="1">
      <alignment horizontal="left" vertical="center" indent="1"/>
    </xf>
    <xf numFmtId="164" fontId="37" fillId="0" borderId="17" xfId="0" applyNumberFormat="1" applyFont="1" applyBorder="1" applyAlignment="1">
      <alignment horizontal="center" vertical="center"/>
    </xf>
    <xf numFmtId="164" fontId="37" fillId="0" borderId="18" xfId="0" applyNumberFormat="1" applyFont="1" applyBorder="1" applyAlignment="1">
      <alignment horizontal="center" vertical="center"/>
    </xf>
    <xf numFmtId="164" fontId="33" fillId="0" borderId="19" xfId="0" applyNumberFormat="1" applyFont="1" applyBorder="1" applyAlignment="1">
      <alignment vertical="center"/>
    </xf>
    <xf numFmtId="165" fontId="39" fillId="0" borderId="17" xfId="0" applyNumberFormat="1" applyFont="1" applyBorder="1" applyAlignment="1">
      <alignment horizontal="left" vertical="center"/>
    </xf>
    <xf numFmtId="165" fontId="39" fillId="0" borderId="18" xfId="0" applyNumberFormat="1" applyFont="1" applyBorder="1" applyAlignment="1">
      <alignment horizontal="left" vertical="center"/>
    </xf>
    <xf numFmtId="165" fontId="39" fillId="0" borderId="19" xfId="0" applyNumberFormat="1" applyFont="1" applyBorder="1" applyAlignment="1">
      <alignment horizontal="left" vertical="center"/>
    </xf>
    <xf numFmtId="9" fontId="40" fillId="0" borderId="17" xfId="0" applyNumberFormat="1" applyFont="1" applyBorder="1" applyAlignment="1">
      <alignment horizontal="center" vertical="center"/>
    </xf>
    <xf numFmtId="9" fontId="40" fillId="0" borderId="18" xfId="0" applyNumberFormat="1" applyFont="1" applyBorder="1" applyAlignment="1">
      <alignment horizontal="center" vertical="center"/>
    </xf>
    <xf numFmtId="9" fontId="40" fillId="0" borderId="19" xfId="0" applyNumberFormat="1" applyFont="1" applyBorder="1" applyAlignment="1">
      <alignment horizontal="center" vertical="center"/>
    </xf>
    <xf numFmtId="164" fontId="37" fillId="0" borderId="19" xfId="0" applyNumberFormat="1" applyFont="1" applyBorder="1" applyAlignment="1">
      <alignment horizontal="center" vertical="center"/>
    </xf>
    <xf numFmtId="165" fontId="39" fillId="0" borderId="17" xfId="0" applyNumberFormat="1" applyFont="1" applyBorder="1" applyAlignment="1">
      <alignment horizontal="left" vertical="center" wrapText="1"/>
    </xf>
    <xf numFmtId="165" fontId="39" fillId="0" borderId="18" xfId="0" applyNumberFormat="1" applyFont="1" applyBorder="1" applyAlignment="1">
      <alignment horizontal="left" vertical="center" wrapText="1"/>
    </xf>
    <xf numFmtId="165" fontId="39" fillId="0" borderId="19" xfId="0" applyNumberFormat="1" applyFont="1" applyBorder="1" applyAlignment="1">
      <alignment horizontal="left" vertical="center" wrapText="1"/>
    </xf>
    <xf numFmtId="164" fontId="33" fillId="0" borderId="19" xfId="0" applyNumberFormat="1" applyFont="1" applyBorder="1" applyAlignment="1">
      <alignment vertical="center" wrapText="1"/>
    </xf>
    <xf numFmtId="164" fontId="37" fillId="0" borderId="19" xfId="0" applyNumberFormat="1" applyFont="1" applyBorder="1" applyAlignment="1">
      <alignment horizontal="center" vertical="center" wrapText="1"/>
    </xf>
    <xf numFmtId="0" fontId="14" fillId="12" borderId="17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0" borderId="20" xfId="0" applyFont="1" applyBorder="1" applyAlignment="1" applyProtection="1">
      <alignment horizontal="justify" vertical="top" wrapText="1"/>
      <protection locked="0"/>
    </xf>
    <xf numFmtId="0" fontId="18" fillId="0" borderId="21" xfId="0" applyFont="1" applyBorder="1" applyAlignment="1" applyProtection="1">
      <alignment horizontal="justify" vertical="top" wrapText="1"/>
      <protection locked="0"/>
    </xf>
    <xf numFmtId="0" fontId="18" fillId="0" borderId="22" xfId="0" applyFont="1" applyBorder="1" applyAlignment="1" applyProtection="1">
      <alignment horizontal="justify" vertical="top" wrapText="1"/>
      <protection locked="0"/>
    </xf>
    <xf numFmtId="0" fontId="18" fillId="0" borderId="23" xfId="0" applyFont="1" applyBorder="1" applyAlignment="1" applyProtection="1">
      <alignment horizontal="justify" vertical="top" wrapText="1"/>
      <protection locked="0"/>
    </xf>
    <xf numFmtId="0" fontId="18" fillId="0" borderId="0" xfId="0" applyFont="1" applyAlignment="1" applyProtection="1">
      <alignment horizontal="justify" vertical="top" wrapText="1"/>
      <protection locked="0"/>
    </xf>
    <xf numFmtId="0" fontId="18" fillId="0" borderId="24" xfId="0" applyFont="1" applyBorder="1" applyAlignment="1" applyProtection="1">
      <alignment horizontal="justify" vertical="top" wrapText="1"/>
      <protection locked="0"/>
    </xf>
    <xf numFmtId="0" fontId="18" fillId="0" borderId="25" xfId="0" applyFont="1" applyBorder="1" applyAlignment="1" applyProtection="1">
      <alignment horizontal="justify" vertical="top" wrapText="1"/>
      <protection locked="0"/>
    </xf>
    <xf numFmtId="0" fontId="18" fillId="0" borderId="15" xfId="0" applyFont="1" applyBorder="1" applyAlignment="1" applyProtection="1">
      <alignment horizontal="justify" vertical="top" wrapText="1"/>
      <protection locked="0"/>
    </xf>
    <xf numFmtId="0" fontId="18" fillId="0" borderId="26" xfId="0" applyFont="1" applyBorder="1" applyAlignment="1" applyProtection="1">
      <alignment horizontal="justify" vertical="top" wrapText="1"/>
      <protection locked="0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0" xfId="0" applyFont="1" applyAlignment="1" applyProtection="1">
      <alignment horizontal="center" vertical="center"/>
      <protection locked="0"/>
    </xf>
    <xf numFmtId="0" fontId="15" fillId="13" borderId="17" xfId="0" applyFont="1" applyFill="1" applyBorder="1" applyAlignment="1">
      <alignment horizontal="center"/>
    </xf>
    <xf numFmtId="0" fontId="15" fillId="13" borderId="18" xfId="0" applyFont="1" applyFill="1" applyBorder="1" applyAlignment="1">
      <alignment horizontal="center"/>
    </xf>
    <xf numFmtId="0" fontId="15" fillId="13" borderId="19" xfId="0" applyFont="1" applyFill="1" applyBorder="1" applyAlignment="1">
      <alignment horizontal="center"/>
    </xf>
    <xf numFmtId="0" fontId="18" fillId="0" borderId="17" xfId="0" applyFont="1" applyBorder="1" applyAlignment="1" applyProtection="1">
      <alignment horizontal="center" vertical="center" wrapText="1"/>
      <protection locked="0"/>
    </xf>
    <xf numFmtId="0" fontId="18" fillId="0" borderId="18" xfId="0" applyFont="1" applyBorder="1" applyAlignment="1" applyProtection="1">
      <alignment horizontal="center" vertical="center" wrapText="1"/>
      <protection locked="0"/>
    </xf>
    <xf numFmtId="0" fontId="18" fillId="0" borderId="19" xfId="0" applyFont="1" applyBorder="1" applyAlignment="1" applyProtection="1">
      <alignment horizontal="center" vertical="center" wrapText="1"/>
      <protection locked="0"/>
    </xf>
    <xf numFmtId="0" fontId="18" fillId="0" borderId="17" xfId="0" applyFont="1" applyBorder="1" applyAlignment="1" applyProtection="1">
      <alignment horizontal="center" vertical="top" wrapText="1"/>
      <protection locked="0"/>
    </xf>
    <xf numFmtId="0" fontId="18" fillId="0" borderId="18" xfId="0" applyFont="1" applyBorder="1" applyAlignment="1" applyProtection="1">
      <alignment horizontal="center" vertical="top" wrapText="1"/>
      <protection locked="0"/>
    </xf>
    <xf numFmtId="0" fontId="18" fillId="0" borderId="19" xfId="0" applyFont="1" applyBorder="1" applyAlignment="1" applyProtection="1">
      <alignment horizontal="center" vertical="top" wrapText="1"/>
      <protection locked="0"/>
    </xf>
    <xf numFmtId="0" fontId="14" fillId="3" borderId="27" xfId="0" applyFont="1" applyFill="1" applyBorder="1" applyAlignment="1" applyProtection="1">
      <alignment horizontal="center" vertical="center" wrapText="1"/>
      <protection locked="0"/>
    </xf>
    <xf numFmtId="0" fontId="14" fillId="3" borderId="28" xfId="0" applyFont="1" applyFill="1" applyBorder="1" applyAlignment="1" applyProtection="1">
      <alignment horizontal="center" vertical="center" wrapText="1"/>
      <protection locked="0"/>
    </xf>
    <xf numFmtId="0" fontId="14" fillId="3" borderId="29" xfId="0" applyFont="1" applyFill="1" applyBorder="1" applyAlignment="1" applyProtection="1">
      <alignment horizontal="center" vertical="center" wrapText="1"/>
      <protection locked="0"/>
    </xf>
    <xf numFmtId="0" fontId="15" fillId="15" borderId="17" xfId="0" applyFont="1" applyFill="1" applyBorder="1" applyAlignment="1" applyProtection="1">
      <alignment horizontal="center"/>
      <protection locked="0"/>
    </xf>
    <xf numFmtId="0" fontId="15" fillId="15" borderId="18" xfId="0" applyFont="1" applyFill="1" applyBorder="1" applyAlignment="1" applyProtection="1">
      <alignment horizontal="center"/>
      <protection locked="0"/>
    </xf>
    <xf numFmtId="0" fontId="15" fillId="15" borderId="19" xfId="0" applyFont="1" applyFill="1" applyBorder="1" applyAlignment="1" applyProtection="1">
      <alignment horizontal="center"/>
      <protection locked="0"/>
    </xf>
    <xf numFmtId="0" fontId="18" fillId="0" borderId="17" xfId="0" applyFont="1" applyBorder="1" applyAlignment="1" applyProtection="1">
      <alignment horizontal="left" vertical="center" wrapText="1" indent="1"/>
      <protection locked="0"/>
    </xf>
    <xf numFmtId="0" fontId="18" fillId="0" borderId="18" xfId="0" applyFont="1" applyBorder="1" applyAlignment="1" applyProtection="1">
      <alignment horizontal="left" vertical="center" wrapText="1" indent="1"/>
      <protection locked="0"/>
    </xf>
    <xf numFmtId="0" fontId="18" fillId="0" borderId="19" xfId="0" applyFont="1" applyBorder="1" applyAlignment="1" applyProtection="1">
      <alignment horizontal="left" vertical="center" wrapText="1" indent="1"/>
      <protection locked="0"/>
    </xf>
    <xf numFmtId="0" fontId="15" fillId="15" borderId="17" xfId="0" applyFont="1" applyFill="1" applyBorder="1" applyAlignment="1" applyProtection="1">
      <alignment horizontal="center" vertical="center"/>
      <protection locked="0"/>
    </xf>
    <xf numFmtId="0" fontId="15" fillId="15" borderId="18" xfId="0" applyFont="1" applyFill="1" applyBorder="1" applyAlignment="1" applyProtection="1">
      <alignment horizontal="center" vertical="center"/>
      <protection locked="0"/>
    </xf>
    <xf numFmtId="0" fontId="15" fillId="15" borderId="19" xfId="0" applyFont="1" applyFill="1" applyBorder="1" applyAlignment="1" applyProtection="1">
      <alignment horizontal="center" vertical="center"/>
      <protection locked="0"/>
    </xf>
    <xf numFmtId="14" fontId="13" fillId="0" borderId="17" xfId="0" applyNumberFormat="1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3" fillId="0" borderId="19" xfId="0" applyFont="1" applyBorder="1" applyAlignment="1" applyProtection="1">
      <alignment horizontal="center" vertical="center" wrapText="1"/>
      <protection locked="0"/>
    </xf>
    <xf numFmtId="0" fontId="18" fillId="0" borderId="20" xfId="0" applyFont="1" applyBorder="1" applyAlignment="1" applyProtection="1">
      <alignment horizontal="left" vertical="center" wrapText="1" indent="1"/>
      <protection locked="0"/>
    </xf>
    <xf numFmtId="0" fontId="18" fillId="0" borderId="21" xfId="0" applyFont="1" applyBorder="1" applyAlignment="1" applyProtection="1">
      <alignment horizontal="left" vertical="center" wrapText="1" indent="1"/>
      <protection locked="0"/>
    </xf>
    <xf numFmtId="0" fontId="18" fillId="0" borderId="22" xfId="0" applyFont="1" applyBorder="1" applyAlignment="1" applyProtection="1">
      <alignment horizontal="left" vertical="center" wrapText="1" indent="1"/>
      <protection locked="0"/>
    </xf>
    <xf numFmtId="0" fontId="18" fillId="0" borderId="23" xfId="0" applyFont="1" applyBorder="1" applyAlignment="1" applyProtection="1">
      <alignment horizontal="left" vertical="center" wrapText="1" indent="1"/>
      <protection locked="0"/>
    </xf>
    <xf numFmtId="0" fontId="18" fillId="0" borderId="0" xfId="0" applyFont="1" applyAlignment="1" applyProtection="1">
      <alignment horizontal="left" vertical="center" wrapText="1" indent="1"/>
      <protection locked="0"/>
    </xf>
    <xf numFmtId="0" fontId="18" fillId="0" borderId="24" xfId="0" applyFont="1" applyBorder="1" applyAlignment="1" applyProtection="1">
      <alignment horizontal="left" vertical="center" wrapText="1" indent="1"/>
      <protection locked="0"/>
    </xf>
    <xf numFmtId="0" fontId="18" fillId="0" borderId="25" xfId="0" applyFont="1" applyBorder="1" applyAlignment="1" applyProtection="1">
      <alignment horizontal="left" vertical="center" wrapText="1" indent="1"/>
      <protection locked="0"/>
    </xf>
    <xf numFmtId="0" fontId="18" fillId="0" borderId="15" xfId="0" applyFont="1" applyBorder="1" applyAlignment="1" applyProtection="1">
      <alignment horizontal="left" vertical="center" wrapText="1" indent="1"/>
      <protection locked="0"/>
    </xf>
    <xf numFmtId="0" fontId="18" fillId="0" borderId="26" xfId="0" applyFont="1" applyBorder="1" applyAlignment="1" applyProtection="1">
      <alignment horizontal="left" vertical="center" wrapText="1" indent="1"/>
      <protection locked="0"/>
    </xf>
    <xf numFmtId="0" fontId="15" fillId="15" borderId="2" xfId="0" applyFont="1" applyFill="1" applyBorder="1" applyAlignment="1" applyProtection="1">
      <alignment horizontal="center" vertical="center"/>
      <protection locked="0"/>
    </xf>
    <xf numFmtId="0" fontId="44" fillId="0" borderId="20" xfId="0" applyFont="1" applyBorder="1" applyAlignment="1" applyProtection="1">
      <alignment horizontal="center" vertical="center"/>
      <protection locked="0"/>
    </xf>
    <xf numFmtId="0" fontId="44" fillId="0" borderId="21" xfId="0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0" fontId="44" fillId="0" borderId="23" xfId="0" applyFont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0" fontId="44" fillId="0" borderId="24" xfId="0" applyFont="1" applyBorder="1" applyAlignment="1" applyProtection="1">
      <alignment horizontal="center" vertical="center"/>
      <protection locked="0"/>
    </xf>
    <xf numFmtId="0" fontId="44" fillId="0" borderId="25" xfId="0" applyFont="1" applyBorder="1" applyAlignment="1" applyProtection="1">
      <alignment horizontal="center" vertical="center"/>
      <protection locked="0"/>
    </xf>
    <xf numFmtId="0" fontId="44" fillId="0" borderId="15" xfId="0" applyFont="1" applyBorder="1" applyAlignment="1" applyProtection="1">
      <alignment horizontal="center" vertical="center"/>
      <protection locked="0"/>
    </xf>
    <xf numFmtId="0" fontId="44" fillId="0" borderId="26" xfId="0" applyFont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left" vertical="center"/>
      <protection locked="0"/>
    </xf>
    <xf numFmtId="0" fontId="41" fillId="0" borderId="29" xfId="0" applyFont="1" applyBorder="1" applyAlignment="1" applyProtection="1">
      <alignment horizontal="left" vertical="center"/>
      <protection locked="0"/>
    </xf>
    <xf numFmtId="0" fontId="41" fillId="0" borderId="27" xfId="0" applyFont="1" applyBorder="1" applyAlignment="1" applyProtection="1">
      <alignment horizontal="left" vertical="center" wrapText="1"/>
      <protection locked="0"/>
    </xf>
    <xf numFmtId="0" fontId="41" fillId="0" borderId="28" xfId="0" applyFont="1" applyBorder="1" applyAlignment="1" applyProtection="1">
      <alignment horizontal="left" vertical="center" wrapText="1"/>
      <protection locked="0"/>
    </xf>
    <xf numFmtId="0" fontId="41" fillId="0" borderId="29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center"/>
      <protection locked="0"/>
    </xf>
    <xf numFmtId="164" fontId="14" fillId="0" borderId="17" xfId="0" applyNumberFormat="1" applyFont="1" applyBorder="1" applyAlignment="1">
      <alignment horizontal="center" vertical="center" wrapText="1"/>
    </xf>
    <xf numFmtId="164" fontId="14" fillId="0" borderId="18" xfId="0" applyNumberFormat="1" applyFont="1" applyBorder="1" applyAlignment="1">
      <alignment horizontal="center" vertical="center" wrapText="1"/>
    </xf>
    <xf numFmtId="164" fontId="0" fillId="0" borderId="19" xfId="0" applyNumberFormat="1" applyBorder="1"/>
    <xf numFmtId="165" fontId="22" fillId="0" borderId="17" xfId="0" applyNumberFormat="1" applyFont="1" applyBorder="1" applyAlignment="1">
      <alignment horizontal="left" vertical="center" indent="1"/>
    </xf>
    <xf numFmtId="165" fontId="22" fillId="0" borderId="18" xfId="0" applyNumberFormat="1" applyFont="1" applyBorder="1" applyAlignment="1">
      <alignment horizontal="left" vertical="center" indent="1"/>
    </xf>
    <xf numFmtId="165" fontId="22" fillId="0" borderId="19" xfId="0" applyNumberFormat="1" applyFont="1" applyBorder="1" applyAlignment="1">
      <alignment horizontal="left" vertical="center" indent="1"/>
    </xf>
    <xf numFmtId="164" fontId="14" fillId="0" borderId="17" xfId="0" applyNumberFormat="1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center" vertical="center"/>
    </xf>
    <xf numFmtId="164" fontId="0" fillId="0" borderId="19" xfId="0" applyNumberFormat="1" applyBorder="1" applyAlignment="1">
      <alignment vertical="center"/>
    </xf>
    <xf numFmtId="165" fontId="22" fillId="0" borderId="17" xfId="0" applyNumberFormat="1" applyFont="1" applyBorder="1" applyAlignment="1">
      <alignment horizontal="left" vertical="center"/>
    </xf>
    <xf numFmtId="165" fontId="22" fillId="0" borderId="18" xfId="0" applyNumberFormat="1" applyFont="1" applyBorder="1" applyAlignment="1">
      <alignment horizontal="left" vertical="center"/>
    </xf>
    <xf numFmtId="165" fontId="22" fillId="0" borderId="19" xfId="0" applyNumberFormat="1" applyFont="1" applyBorder="1" applyAlignment="1">
      <alignment horizontal="left" vertical="center"/>
    </xf>
    <xf numFmtId="9" fontId="15" fillId="0" borderId="17" xfId="0" applyNumberFormat="1" applyFont="1" applyBorder="1" applyAlignment="1">
      <alignment horizontal="center" vertical="center"/>
    </xf>
    <xf numFmtId="9" fontId="15" fillId="0" borderId="18" xfId="0" applyNumberFormat="1" applyFont="1" applyBorder="1" applyAlignment="1">
      <alignment horizontal="center" vertical="center"/>
    </xf>
    <xf numFmtId="9" fontId="15" fillId="0" borderId="19" xfId="0" applyNumberFormat="1" applyFont="1" applyBorder="1" applyAlignment="1">
      <alignment horizontal="center" vertical="center"/>
    </xf>
    <xf numFmtId="164" fontId="14" fillId="0" borderId="19" xfId="0" applyNumberFormat="1" applyFont="1" applyBorder="1" applyAlignment="1">
      <alignment horizontal="center" vertical="center"/>
    </xf>
    <xf numFmtId="165" fontId="22" fillId="0" borderId="17" xfId="0" applyNumberFormat="1" applyFont="1" applyBorder="1" applyAlignment="1">
      <alignment horizontal="left" vertical="center" wrapText="1"/>
    </xf>
    <xf numFmtId="165" fontId="22" fillId="0" borderId="18" xfId="0" applyNumberFormat="1" applyFont="1" applyBorder="1" applyAlignment="1">
      <alignment horizontal="left" vertical="center" wrapText="1"/>
    </xf>
    <xf numFmtId="165" fontId="22" fillId="0" borderId="19" xfId="0" applyNumberFormat="1" applyFont="1" applyBorder="1" applyAlignment="1">
      <alignment horizontal="left" vertical="center" wrapText="1"/>
    </xf>
    <xf numFmtId="164" fontId="0" fillId="0" borderId="19" xfId="0" applyNumberFormat="1" applyBorder="1" applyAlignment="1">
      <alignment vertical="center" wrapText="1"/>
    </xf>
    <xf numFmtId="164" fontId="14" fillId="0" borderId="19" xfId="0" applyNumberFormat="1" applyFont="1" applyBorder="1" applyAlignment="1">
      <alignment horizontal="center" vertical="center" wrapText="1"/>
    </xf>
    <xf numFmtId="0" fontId="14" fillId="0" borderId="20" xfId="0" applyFont="1" applyBorder="1" applyAlignment="1" applyProtection="1">
      <alignment horizontal="left" vertical="top" wrapText="1"/>
      <protection locked="0"/>
    </xf>
    <xf numFmtId="0" fontId="18" fillId="0" borderId="21" xfId="0" applyFont="1" applyBorder="1" applyAlignment="1" applyProtection="1">
      <alignment horizontal="left" vertical="top" wrapText="1"/>
      <protection locked="0"/>
    </xf>
    <xf numFmtId="0" fontId="18" fillId="0" borderId="22" xfId="0" applyFont="1" applyBorder="1" applyAlignment="1" applyProtection="1">
      <alignment horizontal="left" vertical="top" wrapText="1"/>
      <protection locked="0"/>
    </xf>
    <xf numFmtId="0" fontId="18" fillId="0" borderId="23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18" fillId="0" borderId="24" xfId="0" applyFont="1" applyBorder="1" applyAlignment="1" applyProtection="1">
      <alignment horizontal="left" vertical="top" wrapText="1"/>
      <protection locked="0"/>
    </xf>
    <xf numFmtId="0" fontId="18" fillId="0" borderId="25" xfId="0" applyFont="1" applyBorder="1" applyAlignment="1" applyProtection="1">
      <alignment horizontal="left" vertical="top" wrapText="1"/>
      <protection locked="0"/>
    </xf>
    <xf numFmtId="0" fontId="18" fillId="0" borderId="15" xfId="0" applyFont="1" applyBorder="1" applyAlignment="1" applyProtection="1">
      <alignment horizontal="left" vertical="top" wrapText="1"/>
      <protection locked="0"/>
    </xf>
    <xf numFmtId="0" fontId="18" fillId="0" borderId="26" xfId="0" applyFont="1" applyBorder="1" applyAlignment="1" applyProtection="1">
      <alignment horizontal="left" vertical="top" wrapText="1"/>
      <protection locked="0"/>
    </xf>
    <xf numFmtId="14" fontId="18" fillId="0" borderId="17" xfId="0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/>
      <protection locked="0"/>
    </xf>
    <xf numFmtId="0" fontId="41" fillId="0" borderId="18" xfId="0" applyFont="1" applyBorder="1" applyAlignment="1" applyProtection="1">
      <alignment horizontal="center"/>
      <protection locked="0"/>
    </xf>
    <xf numFmtId="0" fontId="41" fillId="0" borderId="19" xfId="0" applyFont="1" applyBorder="1" applyAlignment="1" applyProtection="1">
      <alignment horizontal="center"/>
      <protection locked="0"/>
    </xf>
    <xf numFmtId="0" fontId="11" fillId="0" borderId="11" xfId="2" applyBorder="1" applyAlignment="1" applyProtection="1">
      <alignment horizontal="center" wrapText="1"/>
      <protection locked="0"/>
    </xf>
    <xf numFmtId="0" fontId="11" fillId="0" borderId="10" xfId="2" applyBorder="1" applyAlignment="1" applyProtection="1">
      <alignment horizontal="center" wrapText="1"/>
      <protection locked="0"/>
    </xf>
    <xf numFmtId="0" fontId="11" fillId="0" borderId="16" xfId="2" applyBorder="1" applyAlignment="1" applyProtection="1">
      <alignment horizontal="center" wrapText="1"/>
      <protection locked="0"/>
    </xf>
    <xf numFmtId="0" fontId="11" fillId="0" borderId="0" xfId="2" applyAlignment="1" applyProtection="1">
      <alignment horizontal="center" wrapText="1"/>
      <protection locked="0"/>
    </xf>
    <xf numFmtId="0" fontId="11" fillId="0" borderId="14" xfId="2" applyBorder="1" applyAlignment="1" applyProtection="1">
      <alignment horizontal="center" wrapText="1"/>
      <protection locked="0"/>
    </xf>
    <xf numFmtId="0" fontId="11" fillId="0" borderId="13" xfId="2" applyBorder="1" applyAlignment="1" applyProtection="1">
      <alignment horizontal="center" wrapText="1"/>
      <protection locked="0"/>
    </xf>
    <xf numFmtId="0" fontId="6" fillId="0" borderId="11" xfId="2" applyFont="1" applyBorder="1" applyAlignment="1" applyProtection="1">
      <alignment horizontal="center" vertical="center" wrapText="1"/>
      <protection locked="0"/>
    </xf>
    <xf numFmtId="0" fontId="6" fillId="0" borderId="10" xfId="2" applyFont="1" applyBorder="1" applyAlignment="1" applyProtection="1">
      <alignment horizontal="center" vertical="center" wrapText="1"/>
      <protection locked="0"/>
    </xf>
    <xf numFmtId="0" fontId="6" fillId="0" borderId="16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0" fontId="6" fillId="0" borderId="14" xfId="2" applyFont="1" applyBorder="1" applyAlignment="1" applyProtection="1">
      <alignment horizontal="center" vertical="center" wrapText="1"/>
      <protection locked="0"/>
    </xf>
    <xf numFmtId="0" fontId="6" fillId="0" borderId="13" xfId="2" applyFont="1" applyBorder="1" applyAlignment="1" applyProtection="1">
      <alignment horizontal="center" vertical="center" wrapText="1"/>
      <protection locked="0"/>
    </xf>
    <xf numFmtId="0" fontId="25" fillId="0" borderId="16" xfId="2" applyFont="1" applyBorder="1" applyAlignment="1" applyProtection="1">
      <alignment horizontal="center" wrapText="1"/>
      <protection locked="0"/>
    </xf>
    <xf numFmtId="0" fontId="25" fillId="0" borderId="0" xfId="2" applyFont="1" applyAlignment="1" applyProtection="1">
      <alignment horizontal="center" wrapText="1"/>
      <protection locked="0"/>
    </xf>
    <xf numFmtId="0" fontId="25" fillId="17" borderId="7" xfId="2" applyFont="1" applyFill="1" applyBorder="1" applyAlignment="1" applyProtection="1">
      <alignment horizontal="center" vertical="center" wrapText="1"/>
      <protection locked="0"/>
    </xf>
    <xf numFmtId="0" fontId="25" fillId="17" borderId="30" xfId="2" applyFont="1" applyFill="1" applyBorder="1" applyAlignment="1" applyProtection="1">
      <alignment horizontal="center" vertical="center" wrapText="1"/>
      <protection locked="0"/>
    </xf>
    <xf numFmtId="0" fontId="25" fillId="15" borderId="34" xfId="2" applyFont="1" applyFill="1" applyBorder="1" applyAlignment="1">
      <alignment horizontal="center" vertical="center" wrapText="1"/>
    </xf>
    <xf numFmtId="0" fontId="25" fillId="15" borderId="37" xfId="2" applyFont="1" applyFill="1" applyBorder="1" applyAlignment="1">
      <alignment horizontal="center" vertical="center" wrapText="1"/>
    </xf>
    <xf numFmtId="0" fontId="11" fillId="0" borderId="38" xfId="2" applyBorder="1" applyAlignment="1">
      <alignment horizontal="left" vertical="center" wrapText="1"/>
    </xf>
    <xf numFmtId="0" fontId="11" fillId="0" borderId="37" xfId="2" applyBorder="1" applyAlignment="1">
      <alignment horizontal="left" vertical="center" wrapText="1"/>
    </xf>
    <xf numFmtId="0" fontId="25" fillId="0" borderId="38" xfId="2" applyFont="1" applyBorder="1" applyAlignment="1">
      <alignment horizontal="center" vertical="center" wrapText="1"/>
    </xf>
    <xf numFmtId="0" fontId="25" fillId="0" borderId="40" xfId="2" applyFont="1" applyBorder="1" applyAlignment="1">
      <alignment horizontal="center" vertical="center" wrapText="1"/>
    </xf>
    <xf numFmtId="0" fontId="25" fillId="0" borderId="37" xfId="2" applyFont="1" applyBorder="1" applyAlignment="1">
      <alignment horizontal="center" vertical="center" wrapText="1"/>
    </xf>
    <xf numFmtId="0" fontId="11" fillId="0" borderId="38" xfId="2" applyBorder="1" applyAlignment="1" applyProtection="1">
      <alignment horizontal="center" vertical="center" wrapText="1"/>
      <protection locked="0"/>
    </xf>
    <xf numFmtId="0" fontId="11" fillId="0" borderId="41" xfId="2" applyBorder="1" applyAlignment="1" applyProtection="1">
      <alignment horizontal="center" vertical="center" wrapText="1"/>
      <protection locked="0"/>
    </xf>
    <xf numFmtId="0" fontId="11" fillId="16" borderId="13" xfId="2" applyFill="1" applyBorder="1" applyAlignment="1" applyProtection="1">
      <alignment horizontal="left" vertical="center" wrapText="1"/>
      <protection locked="0"/>
    </xf>
    <xf numFmtId="0" fontId="25" fillId="15" borderId="32" xfId="2" applyFont="1" applyFill="1" applyBorder="1" applyAlignment="1">
      <alignment horizontal="center" vertical="center" wrapText="1"/>
    </xf>
    <xf numFmtId="0" fontId="25" fillId="15" borderId="19" xfId="2" applyFont="1" applyFill="1" applyBorder="1" applyAlignment="1">
      <alignment horizontal="center" vertical="center" wrapText="1"/>
    </xf>
    <xf numFmtId="0" fontId="11" fillId="0" borderId="17" xfId="2" applyBorder="1" applyAlignment="1">
      <alignment horizontal="left" vertical="center" wrapText="1"/>
    </xf>
    <xf numFmtId="0" fontId="11" fillId="0" borderId="19" xfId="2" applyBorder="1" applyAlignment="1">
      <alignment horizontal="left" vertical="center" wrapText="1"/>
    </xf>
    <xf numFmtId="9" fontId="11" fillId="0" borderId="17" xfId="2" applyNumberFormat="1" applyBorder="1" applyAlignment="1">
      <alignment horizontal="center" vertical="center" wrapText="1"/>
    </xf>
    <xf numFmtId="0" fontId="11" fillId="0" borderId="18" xfId="2" applyBorder="1" applyAlignment="1">
      <alignment horizontal="center" vertical="center" wrapText="1"/>
    </xf>
    <xf numFmtId="0" fontId="11" fillId="0" borderId="19" xfId="2" applyBorder="1" applyAlignment="1">
      <alignment horizontal="center" vertical="center" wrapText="1"/>
    </xf>
    <xf numFmtId="0" fontId="11" fillId="15" borderId="19" xfId="2" applyFill="1" applyBorder="1" applyAlignment="1">
      <alignment horizontal="center" wrapText="1"/>
    </xf>
    <xf numFmtId="0" fontId="11" fillId="0" borderId="18" xfId="2" applyBorder="1" applyAlignment="1">
      <alignment horizontal="left" vertical="center" wrapText="1"/>
    </xf>
    <xf numFmtId="0" fontId="11" fillId="0" borderId="2" xfId="2" applyBorder="1" applyAlignment="1" applyProtection="1">
      <alignment horizontal="center" vertical="center" wrapText="1"/>
      <protection locked="0"/>
    </xf>
    <xf numFmtId="0" fontId="25" fillId="15" borderId="43" xfId="2" applyFont="1" applyFill="1" applyBorder="1" applyAlignment="1" applyProtection="1">
      <alignment horizontal="center" vertical="center" wrapText="1"/>
      <protection locked="0"/>
    </xf>
    <xf numFmtId="0" fontId="25" fillId="15" borderId="22" xfId="2" applyFont="1" applyFill="1" applyBorder="1" applyAlignment="1" applyProtection="1">
      <alignment horizontal="center" vertical="center" wrapText="1"/>
      <protection locked="0"/>
    </xf>
    <xf numFmtId="0" fontId="25" fillId="15" borderId="14" xfId="2" applyFont="1" applyFill="1" applyBorder="1" applyAlignment="1" applyProtection="1">
      <alignment horizontal="center" vertical="center" wrapText="1"/>
      <protection locked="0"/>
    </xf>
    <xf numFmtId="0" fontId="25" fillId="15" borderId="45" xfId="2" applyFont="1" applyFill="1" applyBorder="1" applyAlignment="1" applyProtection="1">
      <alignment horizontal="center" vertical="center" wrapText="1"/>
      <protection locked="0"/>
    </xf>
    <xf numFmtId="0" fontId="27" fillId="0" borderId="20" xfId="2" applyFont="1" applyBorder="1" applyAlignment="1" applyProtection="1">
      <alignment horizontal="center" vertical="center" wrapText="1"/>
      <protection locked="0"/>
    </xf>
    <xf numFmtId="0" fontId="27" fillId="0" borderId="22" xfId="2" applyFont="1" applyBorder="1" applyAlignment="1" applyProtection="1">
      <alignment horizontal="center" vertical="center" wrapText="1"/>
      <protection locked="0"/>
    </xf>
    <xf numFmtId="0" fontId="27" fillId="0" borderId="46" xfId="2" applyFont="1" applyBorder="1" applyAlignment="1" applyProtection="1">
      <alignment horizontal="center" vertical="center" wrapText="1"/>
      <protection locked="0"/>
    </xf>
    <xf numFmtId="0" fontId="27" fillId="0" borderId="45" xfId="2" applyFont="1" applyBorder="1" applyAlignment="1" applyProtection="1">
      <alignment horizontal="center" vertical="center" wrapText="1"/>
      <protection locked="0"/>
    </xf>
    <xf numFmtId="0" fontId="25" fillId="15" borderId="2" xfId="2" applyFont="1" applyFill="1" applyBorder="1" applyAlignment="1">
      <alignment horizontal="center" vertical="center" wrapText="1"/>
    </xf>
    <xf numFmtId="0" fontId="25" fillId="15" borderId="47" xfId="2" applyFont="1" applyFill="1" applyBorder="1" applyAlignment="1">
      <alignment horizontal="center" vertical="center" wrapText="1"/>
    </xf>
    <xf numFmtId="0" fontId="11" fillId="16" borderId="0" xfId="2" applyFill="1" applyAlignment="1" applyProtection="1">
      <alignment horizontal="left" vertical="center" wrapText="1"/>
      <protection locked="0"/>
    </xf>
    <xf numFmtId="0" fontId="25" fillId="0" borderId="20" xfId="2" applyFont="1" applyBorder="1" applyAlignment="1">
      <alignment horizontal="center" vertical="center" wrapText="1"/>
    </xf>
    <xf numFmtId="0" fontId="25" fillId="0" borderId="44" xfId="2" applyFont="1" applyBorder="1" applyAlignment="1">
      <alignment horizontal="center" vertical="center" wrapText="1"/>
    </xf>
    <xf numFmtId="0" fontId="25" fillId="0" borderId="25" xfId="2" applyFont="1" applyBorder="1" applyAlignment="1">
      <alignment horizontal="center" vertical="center" wrapText="1"/>
    </xf>
    <xf numFmtId="0" fontId="25" fillId="0" borderId="48" xfId="2" applyFont="1" applyBorder="1" applyAlignment="1">
      <alignment horizontal="center" vertical="center" wrapText="1"/>
    </xf>
    <xf numFmtId="0" fontId="25" fillId="0" borderId="17" xfId="2" applyFont="1" applyBorder="1" applyAlignment="1">
      <alignment horizontal="center" vertical="center" wrapText="1"/>
    </xf>
    <xf numFmtId="0" fontId="25" fillId="0" borderId="42" xfId="2" applyFont="1" applyBorder="1" applyAlignment="1">
      <alignment horizontal="center" vertical="center" wrapText="1"/>
    </xf>
    <xf numFmtId="0" fontId="25" fillId="0" borderId="17" xfId="2" applyFont="1" applyBorder="1" applyAlignment="1" applyProtection="1">
      <alignment horizontal="center" vertical="center" wrapText="1"/>
      <protection locked="0"/>
    </xf>
    <xf numFmtId="0" fontId="25" fillId="0" borderId="42" xfId="2" applyFont="1" applyBorder="1" applyAlignment="1" applyProtection="1">
      <alignment horizontal="center" vertical="center" wrapText="1"/>
      <protection locked="0"/>
    </xf>
    <xf numFmtId="0" fontId="11" fillId="16" borderId="47" xfId="2" applyFill="1" applyBorder="1" applyAlignment="1" applyProtection="1">
      <alignment horizontal="center" vertical="center" wrapText="1"/>
      <protection locked="0"/>
    </xf>
    <xf numFmtId="0" fontId="11" fillId="16" borderId="55" xfId="2" applyFill="1" applyBorder="1" applyAlignment="1" applyProtection="1">
      <alignment horizontal="center" vertical="center" wrapText="1"/>
      <protection locked="0"/>
    </xf>
    <xf numFmtId="0" fontId="25" fillId="18" borderId="14" xfId="2" applyFont="1" applyFill="1" applyBorder="1" applyAlignment="1" applyProtection="1">
      <alignment horizontal="center" vertical="center" wrapText="1"/>
      <protection locked="0"/>
    </xf>
    <xf numFmtId="0" fontId="25" fillId="18" borderId="13" xfId="2" applyFont="1" applyFill="1" applyBorder="1" applyAlignment="1" applyProtection="1">
      <alignment horizontal="center" vertical="center" wrapText="1"/>
      <protection locked="0"/>
    </xf>
    <xf numFmtId="0" fontId="25" fillId="16" borderId="11" xfId="2" applyFont="1" applyFill="1" applyBorder="1" applyAlignment="1" applyProtection="1">
      <alignment horizontal="center" vertical="center" wrapText="1"/>
      <protection locked="0"/>
    </xf>
    <xf numFmtId="0" fontId="25" fillId="16" borderId="10" xfId="2" applyFont="1" applyFill="1" applyBorder="1" applyAlignment="1" applyProtection="1">
      <alignment horizontal="center" vertical="center" wrapText="1"/>
      <protection locked="0"/>
    </xf>
    <xf numFmtId="0" fontId="25" fillId="15" borderId="51" xfId="2" applyFont="1" applyFill="1" applyBorder="1" applyAlignment="1" applyProtection="1">
      <alignment horizontal="center" vertical="center" wrapText="1"/>
      <protection locked="0"/>
    </xf>
    <xf numFmtId="0" fontId="25" fillId="15" borderId="10" xfId="2" applyFont="1" applyFill="1" applyBorder="1" applyAlignment="1" applyProtection="1">
      <alignment horizontal="center" vertical="center" wrapText="1"/>
      <protection locked="0"/>
    </xf>
    <xf numFmtId="0" fontId="11" fillId="0" borderId="11" xfId="2" applyBorder="1" applyAlignment="1" applyProtection="1">
      <alignment horizontal="center" vertical="top" wrapText="1"/>
      <protection locked="0"/>
    </xf>
    <xf numFmtId="0" fontId="11" fillId="0" borderId="10" xfId="2" applyBorder="1" applyAlignment="1" applyProtection="1">
      <alignment horizontal="center" vertical="top" wrapText="1"/>
      <protection locked="0"/>
    </xf>
    <xf numFmtId="0" fontId="11" fillId="0" borderId="0" xfId="2" applyAlignment="1" applyProtection="1">
      <alignment horizontal="center" vertical="top" wrapText="1"/>
      <protection locked="0"/>
    </xf>
    <xf numFmtId="0" fontId="11" fillId="0" borderId="13" xfId="2" applyBorder="1" applyAlignment="1" applyProtection="1">
      <alignment horizontal="center" vertical="top" wrapText="1"/>
      <protection locked="0"/>
    </xf>
    <xf numFmtId="9" fontId="11" fillId="16" borderId="39" xfId="2" applyNumberFormat="1" applyFill="1" applyBorder="1" applyAlignment="1" applyProtection="1">
      <alignment horizontal="center" vertical="center" wrapText="1"/>
      <protection locked="0"/>
    </xf>
    <xf numFmtId="0" fontId="11" fillId="16" borderId="53" xfId="2" applyFill="1" applyBorder="1" applyAlignment="1" applyProtection="1">
      <alignment horizontal="center" vertical="center" wrapText="1"/>
      <protection locked="0"/>
    </xf>
    <xf numFmtId="0" fontId="11" fillId="16" borderId="2" xfId="2" applyFill="1" applyBorder="1" applyAlignment="1" applyProtection="1">
      <alignment horizontal="center" vertical="center" wrapText="1"/>
      <protection locked="0"/>
    </xf>
    <xf numFmtId="0" fontId="11" fillId="16" borderId="54" xfId="2" applyFill="1" applyBorder="1" applyAlignment="1" applyProtection="1">
      <alignment horizontal="center" vertical="center" wrapText="1"/>
      <protection locked="0"/>
    </xf>
    <xf numFmtId="0" fontId="11" fillId="0" borderId="32" xfId="2" applyBorder="1" applyAlignment="1" applyProtection="1">
      <alignment horizontal="left" vertical="center" wrapText="1"/>
      <protection locked="0"/>
    </xf>
    <xf numFmtId="0" fontId="11" fillId="0" borderId="18" xfId="2" applyBorder="1" applyAlignment="1" applyProtection="1">
      <alignment wrapText="1"/>
      <protection locked="0"/>
    </xf>
    <xf numFmtId="0" fontId="25" fillId="16" borderId="7" xfId="2" applyFont="1" applyFill="1" applyBorder="1" applyAlignment="1" applyProtection="1">
      <alignment horizontal="center" vertical="center" wrapText="1"/>
      <protection locked="0"/>
    </xf>
    <xf numFmtId="0" fontId="25" fillId="16" borderId="30" xfId="2" applyFont="1" applyFill="1" applyBorder="1" applyAlignment="1" applyProtection="1">
      <alignment horizontal="center" vertical="center" wrapText="1"/>
      <protection locked="0"/>
    </xf>
    <xf numFmtId="0" fontId="25" fillId="18" borderId="7" xfId="2" applyFont="1" applyFill="1" applyBorder="1" applyAlignment="1" applyProtection="1">
      <alignment horizontal="center" vertical="center" wrapText="1"/>
      <protection locked="0"/>
    </xf>
    <xf numFmtId="0" fontId="25" fillId="18" borderId="30" xfId="2" applyFont="1" applyFill="1" applyBorder="1" applyAlignment="1" applyProtection="1">
      <alignment horizontal="center" vertical="center" wrapText="1"/>
      <protection locked="0"/>
    </xf>
    <xf numFmtId="0" fontId="11" fillId="0" borderId="56" xfId="2" applyBorder="1" applyAlignment="1" applyProtection="1">
      <alignment horizontal="left" vertical="center" wrapText="1"/>
      <protection locked="0"/>
    </xf>
    <xf numFmtId="0" fontId="11" fillId="0" borderId="15" xfId="2" applyBorder="1" applyAlignment="1" applyProtection="1">
      <alignment horizontal="left" vertical="center" wrapText="1"/>
      <protection locked="0"/>
    </xf>
    <xf numFmtId="0" fontId="11" fillId="0" borderId="43" xfId="2" applyBorder="1" applyAlignment="1" applyProtection="1">
      <alignment horizontal="left" vertical="center" wrapText="1"/>
      <protection locked="0"/>
    </xf>
    <xf numFmtId="0" fontId="11" fillId="0" borderId="21" xfId="2" applyBorder="1" applyAlignment="1" applyProtection="1">
      <alignment horizontal="left" vertical="center" wrapText="1"/>
      <protection locked="0"/>
    </xf>
    <xf numFmtId="0" fontId="11" fillId="0" borderId="18" xfId="2" applyBorder="1" applyAlignment="1" applyProtection="1">
      <alignment horizontal="left" vertical="center" wrapText="1"/>
      <protection locked="0"/>
    </xf>
    <xf numFmtId="0" fontId="25" fillId="16" borderId="14" xfId="2" applyFont="1" applyFill="1" applyBorder="1" applyAlignment="1" applyProtection="1">
      <alignment horizontal="center" vertical="center" wrapText="1"/>
      <protection locked="0"/>
    </xf>
    <xf numFmtId="0" fontId="11" fillId="16" borderId="13" xfId="2" applyFill="1" applyBorder="1" applyAlignment="1" applyProtection="1">
      <alignment horizontal="center" vertical="center" wrapText="1"/>
      <protection locked="0"/>
    </xf>
    <xf numFmtId="0" fontId="11" fillId="0" borderId="30" xfId="2" applyBorder="1" applyAlignment="1" applyProtection="1">
      <alignment wrapText="1"/>
      <protection locked="0"/>
    </xf>
    <xf numFmtId="0" fontId="25" fillId="15" borderId="57" xfId="2" applyFont="1" applyFill="1" applyBorder="1" applyAlignment="1" applyProtection="1">
      <alignment horizontal="center" vertical="center" wrapText="1"/>
      <protection locked="0"/>
    </xf>
    <xf numFmtId="0" fontId="25" fillId="15" borderId="58" xfId="2" applyFont="1" applyFill="1" applyBorder="1" applyAlignment="1" applyProtection="1">
      <alignment horizontal="center" vertical="center" wrapText="1"/>
      <protection locked="0"/>
    </xf>
    <xf numFmtId="0" fontId="25" fillId="15" borderId="59" xfId="2" applyFont="1" applyFill="1" applyBorder="1" applyAlignment="1" applyProtection="1">
      <alignment horizontal="center" vertical="center" wrapText="1"/>
      <protection locked="0"/>
    </xf>
    <xf numFmtId="0" fontId="25" fillId="15" borderId="30" xfId="2" applyFont="1" applyFill="1" applyBorder="1" applyAlignment="1" applyProtection="1">
      <alignment horizontal="center" vertical="center" wrapText="1"/>
      <protection locked="0"/>
    </xf>
    <xf numFmtId="0" fontId="11" fillId="0" borderId="10" xfId="2" applyBorder="1" applyAlignment="1" applyProtection="1">
      <alignment wrapText="1"/>
      <protection locked="0"/>
    </xf>
    <xf numFmtId="0" fontId="11" fillId="0" borderId="16" xfId="2" applyBorder="1" applyAlignment="1" applyProtection="1">
      <alignment wrapText="1"/>
      <protection locked="0"/>
    </xf>
    <xf numFmtId="0" fontId="11" fillId="0" borderId="0" xfId="2" applyAlignment="1" applyProtection="1">
      <alignment wrapText="1"/>
      <protection locked="0"/>
    </xf>
    <xf numFmtId="0" fontId="11" fillId="0" borderId="26" xfId="2" applyBorder="1" applyAlignment="1" applyProtection="1">
      <alignment horizontal="left" vertical="center" wrapText="1"/>
      <protection locked="0"/>
    </xf>
    <xf numFmtId="0" fontId="11" fillId="0" borderId="40" xfId="2" applyBorder="1" applyAlignment="1" applyProtection="1">
      <alignment wrapText="1"/>
      <protection locked="0"/>
    </xf>
    <xf numFmtId="0" fontId="11" fillId="0" borderId="19" xfId="2" applyBorder="1" applyAlignment="1" applyProtection="1">
      <alignment horizontal="left" vertical="center" wrapText="1"/>
      <protection locked="0"/>
    </xf>
    <xf numFmtId="0" fontId="11" fillId="0" borderId="17" xfId="2" applyBorder="1" applyAlignment="1" applyProtection="1">
      <alignment horizontal="center" vertical="center" wrapText="1"/>
      <protection locked="0"/>
    </xf>
    <xf numFmtId="0" fontId="11" fillId="0" borderId="22" xfId="2" applyBorder="1" applyAlignment="1" applyProtection="1">
      <alignment horizontal="left" vertical="center" wrapText="1"/>
      <protection locked="0"/>
    </xf>
    <xf numFmtId="0" fontId="11" fillId="0" borderId="60" xfId="2" applyBorder="1" applyAlignment="1" applyProtection="1">
      <alignment horizontal="center" vertical="center" wrapText="1"/>
      <protection locked="0"/>
    </xf>
    <xf numFmtId="0" fontId="11" fillId="0" borderId="61" xfId="2" applyBorder="1" applyAlignment="1" applyProtection="1">
      <alignment wrapText="1"/>
      <protection locked="0"/>
    </xf>
  </cellXfs>
  <cellStyles count="5">
    <cellStyle name="Hipervínculo" xfId="1" builtinId="8"/>
    <cellStyle name="Millares 3" xfId="3" xr:uid="{00000000-0005-0000-0000-000001000000}"/>
    <cellStyle name="Normal" xfId="0" builtinId="0"/>
    <cellStyle name="Normal 2" xfId="2" xr:uid="{00000000-0005-0000-0000-000003000000}"/>
    <cellStyle name="Porcentaje" xfId="4" builtinId="5"/>
  </cellStyles>
  <dxfs count="15">
    <dxf>
      <font>
        <condense val="0"/>
        <extend val="0"/>
        <color auto="1"/>
      </font>
      <fill>
        <patternFill>
          <fgColor indexed="64"/>
          <bgColor indexed="57"/>
        </patternFill>
      </fill>
    </dxf>
    <dxf>
      <font>
        <condense val="0"/>
        <extend val="0"/>
        <color auto="1"/>
      </font>
      <fill>
        <patternFill>
          <fgColor indexed="64"/>
          <bgColor indexed="13"/>
        </patternFill>
      </fill>
    </dxf>
    <dxf>
      <font>
        <condense val="0"/>
        <extend val="0"/>
        <color auto="1"/>
      </font>
      <fill>
        <patternFill>
          <fgColor indexed="64"/>
          <bgColor indexed="10"/>
        </patternFill>
      </fill>
    </dxf>
    <dxf>
      <font>
        <condense val="0"/>
        <extend val="0"/>
        <color auto="1"/>
      </font>
      <fill>
        <patternFill>
          <fgColor indexed="64"/>
          <bgColor indexed="57"/>
        </patternFill>
      </fill>
    </dxf>
    <dxf>
      <font>
        <condense val="0"/>
        <extend val="0"/>
        <color auto="1"/>
      </font>
      <fill>
        <patternFill>
          <fgColor indexed="64"/>
          <bgColor indexed="13"/>
        </patternFill>
      </fill>
    </dxf>
    <dxf>
      <font>
        <condense val="0"/>
        <extend val="0"/>
        <color auto="1"/>
      </font>
      <fill>
        <patternFill>
          <fgColor indexed="64"/>
          <bgColor indexed="10"/>
        </patternFill>
      </fill>
    </dxf>
    <dxf>
      <font>
        <condense val="0"/>
        <extend val="0"/>
        <color auto="1"/>
      </font>
      <fill>
        <patternFill>
          <fgColor indexed="64"/>
          <bgColor indexed="57"/>
        </patternFill>
      </fill>
    </dxf>
    <dxf>
      <font>
        <condense val="0"/>
        <extend val="0"/>
        <color auto="1"/>
      </font>
      <fill>
        <patternFill>
          <fgColor indexed="64"/>
          <bgColor indexed="13"/>
        </patternFill>
      </fill>
    </dxf>
    <dxf>
      <font>
        <condense val="0"/>
        <extend val="0"/>
        <color auto="1"/>
      </font>
      <fill>
        <patternFill>
          <fgColor indexed="64"/>
          <bgColor indexed="10"/>
        </patternFill>
      </fill>
    </dxf>
    <dxf>
      <font>
        <condense val="0"/>
        <extend val="0"/>
        <color auto="1"/>
      </font>
      <fill>
        <patternFill>
          <fgColor indexed="64"/>
          <bgColor indexed="57"/>
        </patternFill>
      </fill>
    </dxf>
    <dxf>
      <font>
        <condense val="0"/>
        <extend val="0"/>
        <color auto="1"/>
      </font>
      <fill>
        <patternFill>
          <fgColor indexed="64"/>
          <bgColor indexed="13"/>
        </patternFill>
      </fill>
    </dxf>
    <dxf>
      <font>
        <condense val="0"/>
        <extend val="0"/>
        <color auto="1"/>
      </font>
      <fill>
        <patternFill>
          <fgColor indexed="64"/>
          <bgColor indexed="10"/>
        </patternFill>
      </fill>
    </dxf>
    <dxf>
      <font>
        <condense val="0"/>
        <extend val="0"/>
        <color auto="1"/>
      </font>
      <fill>
        <patternFill>
          <fgColor indexed="64"/>
          <bgColor indexed="57"/>
        </patternFill>
      </fill>
    </dxf>
    <dxf>
      <font>
        <condense val="0"/>
        <extend val="0"/>
        <color auto="1"/>
      </font>
      <fill>
        <patternFill>
          <fgColor indexed="64"/>
          <bgColor indexed="13"/>
        </patternFill>
      </fill>
    </dxf>
    <dxf>
      <font>
        <condense val="0"/>
        <extend val="0"/>
        <color auto="1"/>
      </font>
      <fill>
        <patternFill>
          <fgColor indexed="64"/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strRef>
          <c:f>'Tablero de Indicadores'!$C$13</c:f>
          <c:strCache>
            <c:ptCount val="1"/>
            <c:pt idx="0">
              <c:v>Cumplimiento Estado Sanitario en los puntos de venta</c:v>
            </c:pt>
          </c:strCache>
        </c:strRef>
      </c:tx>
      <c:overlay val="1"/>
      <c:spPr>
        <a:solidFill>
          <a:srgbClr val="FFFF00"/>
        </a:solidFill>
      </c:spPr>
      <c:txPr>
        <a:bodyPr/>
        <a:lstStyle/>
        <a:p>
          <a:pPr>
            <a:defRPr/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9148925283073441E-2"/>
          <c:y val="0.13145306981659793"/>
          <c:w val="0.95069711613766383"/>
          <c:h val="0.71869746188919614"/>
        </c:manualLayout>
      </c:layout>
      <c:barChart>
        <c:barDir val="col"/>
        <c:grouping val="stacked"/>
        <c:varyColors val="0"/>
        <c:ser>
          <c:idx val="3"/>
          <c:order val="2"/>
          <c:tx>
            <c:strRef>
              <c:f>'IND ESTADO SANITARIO'!$B$33:$D$33</c:f>
              <c:strCache>
                <c:ptCount val="3"/>
                <c:pt idx="0">
                  <c:v>Avance</c:v>
                </c:pt>
              </c:strCache>
            </c:strRef>
          </c:tx>
          <c:spPr>
            <a:solidFill>
              <a:srgbClr val="4F81BD">
                <a:lumMod val="75000"/>
              </a:srgbClr>
            </a:solidFill>
          </c:spPr>
          <c:invertIfNegative val="0"/>
          <c:cat>
            <c:strRef>
              <c:f>'IND ESTADO SANITARIO'!$F$24:$Q$24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 ESTADO SANITARIO'!$F$33:$Q$33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6-4DA2-B2D5-F10FDA736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92121040"/>
        <c:axId val="692111792"/>
      </c:barChart>
      <c:lineChart>
        <c:grouping val="standard"/>
        <c:varyColors val="0"/>
        <c:ser>
          <c:idx val="1"/>
          <c:order val="0"/>
          <c:tx>
            <c:strRef>
              <c:f>'IND ESTADO SANITARIO'!$B$29:$D$29</c:f>
              <c:strCache>
                <c:ptCount val="3"/>
                <c:pt idx="0">
                  <c:v>Rango Mayor (Meta)</c:v>
                </c:pt>
              </c:strCache>
            </c:strRef>
          </c:tx>
          <c:spPr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ESTADO SANITARIO'!$F$24:$I$24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ESTADO SANITARIO'!$F$29:$Q$29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6-4DA2-B2D5-F10FDA736FDE}"/>
            </c:ext>
          </c:extLst>
        </c:ser>
        <c:ser>
          <c:idx val="2"/>
          <c:order val="1"/>
          <c:tx>
            <c:strRef>
              <c:f>'IND ESTADO SANITARIO'!$B$31:$D$31</c:f>
              <c:strCache>
                <c:ptCount val="3"/>
                <c:pt idx="0">
                  <c:v>Rango Menor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ESTADO SANITARIO'!$F$24:$I$24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ESTADO SANITARIO'!$F$31:$Q$31</c:f>
              <c:numCache>
                <c:formatCode>0%</c:formatCode>
                <c:ptCount val="1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6-4DA2-B2D5-F10FDA736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121040"/>
        <c:axId val="692111792"/>
      </c:lineChart>
      <c:catAx>
        <c:axId val="69212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692111792"/>
        <c:crosses val="autoZero"/>
        <c:auto val="1"/>
        <c:lblAlgn val="ctr"/>
        <c:lblOffset val="100"/>
        <c:noMultiLvlLbl val="0"/>
      </c:catAx>
      <c:valAx>
        <c:axId val="692111792"/>
        <c:scaling>
          <c:orientation val="minMax"/>
          <c:max val="1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692121040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55" l="0.70000000000000062" r="0.70000000000000062" t="0.75000000000000155" header="0.30000000000000032" footer="0.3000000000000003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strRef>
          <c:f>'Tablero de Indicadores'!$C$14</c:f>
          <c:strCache>
            <c:ptCount val="1"/>
            <c:pt idx="0">
              <c:v>COBERTURA PLAN CAPACITACION PERSONAL MANIPULADOR DE ALIMENTOS</c:v>
            </c:pt>
          </c:strCache>
        </c:strRef>
      </c:tx>
      <c:overlay val="1"/>
      <c:spPr>
        <a:solidFill>
          <a:srgbClr val="FFFF00"/>
        </a:solidFill>
      </c:spPr>
      <c:txPr>
        <a:bodyPr/>
        <a:lstStyle/>
        <a:p>
          <a:pPr>
            <a:defRPr/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9148925283073441E-2"/>
          <c:y val="0.13145306981659793"/>
          <c:w val="0.95069711613766383"/>
          <c:h val="0.71869746188919614"/>
        </c:manualLayout>
      </c:layout>
      <c:barChart>
        <c:barDir val="col"/>
        <c:grouping val="stacked"/>
        <c:varyColors val="0"/>
        <c:ser>
          <c:idx val="3"/>
          <c:order val="2"/>
          <c:tx>
            <c:strRef>
              <c:f>'IND COBERTURA PLAN CAPACITACIÓN'!$B$33:$D$33</c:f>
              <c:strCache>
                <c:ptCount val="3"/>
                <c:pt idx="0">
                  <c:v>Avance</c:v>
                </c:pt>
              </c:strCache>
            </c:strRef>
          </c:tx>
          <c:spPr>
            <a:solidFill>
              <a:srgbClr val="4F81BD">
                <a:lumMod val="75000"/>
              </a:srgbClr>
            </a:solidFill>
          </c:spPr>
          <c:invertIfNegative val="0"/>
          <c:cat>
            <c:strRef>
              <c:f>'IND COBERTURA PLAN CAPACITACIÓN'!$F$24:$Q$24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 COBERTURA PLAN CAPACITACIÓN'!$F$33:$Q$33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B-4E3B-803D-8DA0FEB90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92105808"/>
        <c:axId val="692107440"/>
      </c:barChart>
      <c:lineChart>
        <c:grouping val="standard"/>
        <c:varyColors val="0"/>
        <c:ser>
          <c:idx val="1"/>
          <c:order val="0"/>
          <c:tx>
            <c:strRef>
              <c:f>'IND COBERTURA PLAN CAPACITACIÓN'!$B$29:$D$29</c:f>
              <c:strCache>
                <c:ptCount val="3"/>
                <c:pt idx="0">
                  <c:v>Rango Mayor (Meta)</c:v>
                </c:pt>
              </c:strCache>
            </c:strRef>
          </c:tx>
          <c:spPr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COBERTURA PLAN CAPACITACIÓN'!$F$24:$I$24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COBERTURA PLAN CAPACITACIÓN'!$F$29:$Q$29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B-4E3B-803D-8DA0FEB90EBE}"/>
            </c:ext>
          </c:extLst>
        </c:ser>
        <c:ser>
          <c:idx val="2"/>
          <c:order val="1"/>
          <c:tx>
            <c:strRef>
              <c:f>'IND COBERTURA PLAN CAPACITACIÓN'!$B$31:$D$31</c:f>
              <c:strCache>
                <c:ptCount val="3"/>
                <c:pt idx="0">
                  <c:v>Rango Menor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COBERTURA PLAN CAPACITACIÓN'!$F$24:$I$24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COBERTURA PLAN CAPACITACIÓN'!$F$31:$Q$31</c:f>
              <c:numCache>
                <c:formatCode>0%</c:formatCode>
                <c:ptCount val="1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5B-4E3B-803D-8DA0FEB90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105808"/>
        <c:axId val="692107440"/>
      </c:lineChart>
      <c:catAx>
        <c:axId val="69210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692107440"/>
        <c:crosses val="autoZero"/>
        <c:auto val="1"/>
        <c:lblAlgn val="ctr"/>
        <c:lblOffset val="100"/>
        <c:noMultiLvlLbl val="0"/>
      </c:catAx>
      <c:valAx>
        <c:axId val="692107440"/>
        <c:scaling>
          <c:orientation val="minMax"/>
          <c:max val="1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692105808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55" l="0.70000000000000062" r="0.70000000000000062" t="0.75000000000000155" header="0.30000000000000032" footer="0.3000000000000003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strRef>
          <c:f>'Tablero de Indicadores'!#REF!</c:f>
          <c:strCache>
            <c:ptCount val="1"/>
            <c:pt idx="0">
              <c:v>#¡REF!</c:v>
            </c:pt>
          </c:strCache>
        </c:strRef>
      </c:tx>
      <c:overlay val="1"/>
      <c:spPr>
        <a:solidFill>
          <a:srgbClr val="FFFF00"/>
        </a:solidFill>
      </c:spPr>
      <c:txPr>
        <a:bodyPr/>
        <a:lstStyle/>
        <a:p>
          <a:pPr>
            <a:defRPr/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666177372831181E-2"/>
          <c:y val="0.21989660055534757"/>
          <c:w val="0.95069711613766383"/>
          <c:h val="0.71869746188919614"/>
        </c:manualLayout>
      </c:layout>
      <c:barChart>
        <c:barDir val="col"/>
        <c:grouping val="stacked"/>
        <c:varyColors val="0"/>
        <c:ser>
          <c:idx val="3"/>
          <c:order val="2"/>
          <c:tx>
            <c:strRef>
              <c:f>'IND EFICACIA CAPACITACIONES'!$B$33:$D$33</c:f>
              <c:strCache>
                <c:ptCount val="3"/>
                <c:pt idx="0">
                  <c:v>Avance</c:v>
                </c:pt>
              </c:strCache>
            </c:strRef>
          </c:tx>
          <c:spPr>
            <a:solidFill>
              <a:srgbClr val="4F81BD">
                <a:lumMod val="75000"/>
              </a:srgbClr>
            </a:solidFill>
          </c:spPr>
          <c:invertIfNegative val="0"/>
          <c:cat>
            <c:strRef>
              <c:f>'IND EFICACIA CAPACITACIONES'!$F$24:$Q$24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 EFICACIA CAPACITACIONES'!$F$33:$Q$33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A-4F99-89C6-764191A88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83177072"/>
        <c:axId val="683176528"/>
      </c:barChart>
      <c:lineChart>
        <c:grouping val="standard"/>
        <c:varyColors val="0"/>
        <c:ser>
          <c:idx val="1"/>
          <c:order val="0"/>
          <c:tx>
            <c:strRef>
              <c:f>'IND EFICACIA CAPACITACIONES'!$B$29:$D$29</c:f>
              <c:strCache>
                <c:ptCount val="3"/>
                <c:pt idx="0">
                  <c:v>Rango Mayor (Meta)</c:v>
                </c:pt>
              </c:strCache>
            </c:strRef>
          </c:tx>
          <c:spPr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EFICACIA CAPACITACIONES'!$F$24:$I$24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EFICACIA CAPACITACIONES'!$F$29:$Q$29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A-4F99-89C6-764191A886E9}"/>
            </c:ext>
          </c:extLst>
        </c:ser>
        <c:ser>
          <c:idx val="2"/>
          <c:order val="1"/>
          <c:tx>
            <c:strRef>
              <c:f>'IND EFICACIA CAPACITACIONES'!$B$31:$D$31</c:f>
              <c:strCache>
                <c:ptCount val="3"/>
                <c:pt idx="0">
                  <c:v>Rango Menor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EFICACIA CAPACITACIONES'!$F$24:$I$24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EFICACIA CAPACITACIONES'!$F$31:$Q$31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A-4F99-89C6-764191A88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177072"/>
        <c:axId val="683176528"/>
      </c:lineChart>
      <c:catAx>
        <c:axId val="6831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683176528"/>
        <c:crosses val="autoZero"/>
        <c:auto val="1"/>
        <c:lblAlgn val="ctr"/>
        <c:lblOffset val="100"/>
        <c:noMultiLvlLbl val="0"/>
      </c:catAx>
      <c:valAx>
        <c:axId val="683176528"/>
        <c:scaling>
          <c:orientation val="minMax"/>
          <c:max val="1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68317707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55" l="0.70000000000000062" r="0.70000000000000062" t="0.75000000000000155" header="0.30000000000000032" footer="0.3000000000000003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strRef>
          <c:f>'Tablero de Indicadores'!$C$16</c:f>
          <c:strCache>
            <c:ptCount val="1"/>
            <c:pt idx="0">
              <c:v>CUMPLIMIENTO DE LA EFICACIA EN EL TRATAMIENTO DE PQRSF</c:v>
            </c:pt>
          </c:strCache>
        </c:strRef>
      </c:tx>
      <c:overlay val="1"/>
      <c:spPr>
        <a:solidFill>
          <a:srgbClr val="FFFF00"/>
        </a:solidFill>
      </c:spPr>
      <c:txPr>
        <a:bodyPr/>
        <a:lstStyle/>
        <a:p>
          <a:pPr>
            <a:defRPr/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9148925283073441E-2"/>
          <c:y val="0.13145306981659793"/>
          <c:w val="0.95069711613766383"/>
          <c:h val="0.71869746188919614"/>
        </c:manualLayout>
      </c:layout>
      <c:barChart>
        <c:barDir val="col"/>
        <c:grouping val="stacked"/>
        <c:varyColors val="0"/>
        <c:ser>
          <c:idx val="3"/>
          <c:order val="2"/>
          <c:tx>
            <c:strRef>
              <c:f>'IND TRATAMIENTO PQRSF'!$B$33:$D$33</c:f>
              <c:strCache>
                <c:ptCount val="3"/>
                <c:pt idx="0">
                  <c:v>Avance</c:v>
                </c:pt>
              </c:strCache>
            </c:strRef>
          </c:tx>
          <c:spPr>
            <a:solidFill>
              <a:srgbClr val="4F81BD">
                <a:lumMod val="75000"/>
              </a:srgbClr>
            </a:solidFill>
          </c:spPr>
          <c:invertIfNegative val="0"/>
          <c:cat>
            <c:strRef>
              <c:f>'IND TRATAMIENTO PQRSF'!$F$24:$Q$24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 TRATAMIENTO PQRSF'!$F$33:$Q$33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C-4186-B0DB-504B2F85F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83179792"/>
        <c:axId val="683183600"/>
      </c:barChart>
      <c:lineChart>
        <c:grouping val="standard"/>
        <c:varyColors val="0"/>
        <c:ser>
          <c:idx val="1"/>
          <c:order val="0"/>
          <c:tx>
            <c:strRef>
              <c:f>'IND TRATAMIENTO PQRSF'!$B$29:$D$29</c:f>
              <c:strCache>
                <c:ptCount val="3"/>
                <c:pt idx="0">
                  <c:v>Rango Mayor (Meta)</c:v>
                </c:pt>
              </c:strCache>
            </c:strRef>
          </c:tx>
          <c:spPr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TRATAMIENTO PQRSF'!$F$24:$I$24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TRATAMIENTO PQRSF'!$F$29:$Q$29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4C-4186-B0DB-504B2F85F21D}"/>
            </c:ext>
          </c:extLst>
        </c:ser>
        <c:ser>
          <c:idx val="2"/>
          <c:order val="1"/>
          <c:tx>
            <c:strRef>
              <c:f>'IND TRATAMIENTO PQRSF'!$B$31:$D$31</c:f>
              <c:strCache>
                <c:ptCount val="3"/>
                <c:pt idx="0">
                  <c:v>Rango Menor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TRATAMIENTO PQRSF'!$F$24:$I$24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TRATAMIENTO PQRSF'!$F$31:$Q$31</c:f>
              <c:numCache>
                <c:formatCode>0%</c:formatCode>
                <c:ptCount val="12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4C-4186-B0DB-504B2F85F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179792"/>
        <c:axId val="683183600"/>
      </c:lineChart>
      <c:catAx>
        <c:axId val="68317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683183600"/>
        <c:crosses val="autoZero"/>
        <c:auto val="1"/>
        <c:lblAlgn val="ctr"/>
        <c:lblOffset val="100"/>
        <c:noMultiLvlLbl val="0"/>
      </c:catAx>
      <c:valAx>
        <c:axId val="683183600"/>
        <c:scaling>
          <c:orientation val="minMax"/>
          <c:max val="1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68317979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55" l="0.70000000000000062" r="0.70000000000000062" t="0.75000000000000155" header="0.30000000000000032" footer="0.3000000000000003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strRef>
          <c:f>'Tablero de Indicadores'!$C$17</c:f>
          <c:strCache>
            <c:ptCount val="1"/>
            <c:pt idx="0">
              <c:v>SISTEMA DE GESTIÓN DOCUMENTAL</c:v>
            </c:pt>
          </c:strCache>
        </c:strRef>
      </c:tx>
      <c:overlay val="1"/>
      <c:spPr>
        <a:solidFill>
          <a:srgbClr val="FFFF00"/>
        </a:solidFill>
      </c:spPr>
      <c:txPr>
        <a:bodyPr/>
        <a:lstStyle/>
        <a:p>
          <a:pPr>
            <a:defRPr/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9148925283073441E-2"/>
          <c:y val="0.13145306981659793"/>
          <c:w val="0.95069711613766383"/>
          <c:h val="0.71869746188919614"/>
        </c:manualLayout>
      </c:layout>
      <c:barChart>
        <c:barDir val="col"/>
        <c:grouping val="stacked"/>
        <c:varyColors val="0"/>
        <c:ser>
          <c:idx val="3"/>
          <c:order val="2"/>
          <c:tx>
            <c:strRef>
              <c:f>'IND SISTEMA GESTION DOCUMENTAL'!$B$33:$D$33</c:f>
              <c:strCache>
                <c:ptCount val="3"/>
                <c:pt idx="0">
                  <c:v>Avance</c:v>
                </c:pt>
              </c:strCache>
            </c:strRef>
          </c:tx>
          <c:spPr>
            <a:solidFill>
              <a:srgbClr val="4F81BD">
                <a:lumMod val="75000"/>
              </a:srgbClr>
            </a:solidFill>
          </c:spPr>
          <c:invertIfNegative val="0"/>
          <c:cat>
            <c:strRef>
              <c:f>'IND SISTEMA GESTION DOCUMENTAL'!$F$24:$Q$24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 SISTEMA GESTION DOCUMENTAL'!$F$33:$Q$33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D-4A74-859F-328EF94FA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87705376"/>
        <c:axId val="548856576"/>
      </c:barChart>
      <c:lineChart>
        <c:grouping val="standard"/>
        <c:varyColors val="0"/>
        <c:ser>
          <c:idx val="1"/>
          <c:order val="0"/>
          <c:tx>
            <c:strRef>
              <c:f>'IND SISTEMA GESTION DOCUMENTAL'!$B$29:$D$29</c:f>
              <c:strCache>
                <c:ptCount val="3"/>
                <c:pt idx="0">
                  <c:v>Rango Mayor (Meta)</c:v>
                </c:pt>
              </c:strCache>
            </c:strRef>
          </c:tx>
          <c:spPr>
            <a:ln w="25400" cap="flat" cmpd="sng" algn="ctr">
              <a:solidFill>
                <a:schemeClr val="accent3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SISTEMA GESTION DOCUMENTAL'!$F$24:$I$24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SISTEMA GESTION DOCUMENTAL'!$F$29:$Q$29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D-4A74-859F-328EF94FA09E}"/>
            </c:ext>
          </c:extLst>
        </c:ser>
        <c:ser>
          <c:idx val="2"/>
          <c:order val="1"/>
          <c:tx>
            <c:strRef>
              <c:f>'IND SISTEMA GESTION DOCUMENTAL'!$B$31:$D$31</c:f>
              <c:strCache>
                <c:ptCount val="3"/>
                <c:pt idx="0">
                  <c:v>Rango Menor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marker>
            <c:symbol val="none"/>
          </c:marker>
          <c:cat>
            <c:strRef>
              <c:f>'IND SISTEMA GESTION DOCUMENTAL'!$F$24:$I$24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'IND SISTEMA GESTION DOCUMENTAL'!$F$31:$Q$31</c:f>
              <c:numCache>
                <c:formatCode>0%</c:formatCode>
                <c:ptCount val="12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D-4A74-859F-328EF94FA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705376"/>
        <c:axId val="548856576"/>
      </c:lineChart>
      <c:catAx>
        <c:axId val="68770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548856576"/>
        <c:crosses val="autoZero"/>
        <c:auto val="1"/>
        <c:lblAlgn val="ctr"/>
        <c:lblOffset val="100"/>
        <c:noMultiLvlLbl val="0"/>
      </c:catAx>
      <c:valAx>
        <c:axId val="548856576"/>
        <c:scaling>
          <c:orientation val="minMax"/>
          <c:max val="1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687705376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55" l="0.70000000000000062" r="0.70000000000000062" t="0.7500000000000015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9"/>
    </mc:Choice>
    <mc:Fallback>
      <c:style val="39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353761997174032"/>
          <c:y val="0.11380885562132549"/>
          <c:w val="0.84990266498819333"/>
          <c:h val="0.70199394306480944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'IND CONFORMIDAD MICROBIOLOGICAS'!$B$16:$B$27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'IND CONFORMIDAD MICROBIOLOGICAS'!$E$16:$E$27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1-4A2D-9194-96928C61A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807333072"/>
        <c:axId val="807329808"/>
        <c:axId val="0"/>
      </c:bar3DChart>
      <c:catAx>
        <c:axId val="80733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807329808"/>
        <c:crosses val="autoZero"/>
        <c:auto val="1"/>
        <c:lblAlgn val="ctr"/>
        <c:lblOffset val="100"/>
        <c:noMultiLvlLbl val="0"/>
      </c:catAx>
      <c:valAx>
        <c:axId val="8073298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807333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Tablero de Indicadores'!T&#237;tulos_a_imprimir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Tablero de Indicadores'!T&#237;tulos_a_imprimir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Indicadores de Gesti&#243;n'!A11"/><Relationship Id="rId2" Type="http://schemas.openxmlformats.org/officeDocument/2006/relationships/image" Target="../media/image2.png"/><Relationship Id="rId1" Type="http://schemas.openxmlformats.org/officeDocument/2006/relationships/chart" Target="../charts/chart3.xml"/><Relationship Id="rId4" Type="http://schemas.openxmlformats.org/officeDocument/2006/relationships/hyperlink" Target="#'Tablero de Indicadores'!T&#237;tulos_a_imprimir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Tablero de Indicadores'!T&#237;tulos_a_imprimir"/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Tablero de Indicadores'!T&#237;tulos_a_imprimir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Tablero de Indicadores'!T&#237;tulos_a_imprimir"/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489857</xdr:colOff>
      <xdr:row>6</xdr:row>
      <xdr:rowOff>244129</xdr:rowOff>
    </xdr:from>
    <xdr:to>
      <xdr:col>2</xdr:col>
      <xdr:colOff>568298</xdr:colOff>
      <xdr:row>7</xdr:row>
      <xdr:rowOff>104855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786" y="1509593"/>
          <a:ext cx="1235048" cy="1235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185853</xdr:colOff>
      <xdr:row>34</xdr:row>
      <xdr:rowOff>1307105</xdr:rowOff>
    </xdr:from>
    <xdr:to>
      <xdr:col>26</xdr:col>
      <xdr:colOff>34847</xdr:colOff>
      <xdr:row>34</xdr:row>
      <xdr:rowOff>4239787</xdr:rowOff>
    </xdr:to>
    <xdr:graphicFrame macro="">
      <xdr:nvGraphicFramePr>
        <xdr:cNvPr id="2" name="8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325243</xdr:colOff>
      <xdr:row>0</xdr:row>
      <xdr:rowOff>0</xdr:rowOff>
    </xdr:from>
    <xdr:to>
      <xdr:col>3</xdr:col>
      <xdr:colOff>534329</xdr:colOff>
      <xdr:row>6</xdr:row>
      <xdr:rowOff>264182</xdr:rowOff>
    </xdr:to>
    <xdr:pic>
      <xdr:nvPicPr>
        <xdr:cNvPr id="4" name="Imagen 3" descr="Imagen que contiene Logotipo&#10;&#10;Descripción generada automáticament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322" y="0"/>
          <a:ext cx="1382287" cy="1251530"/>
        </a:xfrm>
        <a:prstGeom prst="rect">
          <a:avLst/>
        </a:prstGeom>
      </xdr:spPr>
    </xdr:pic>
    <xdr:clientData/>
  </xdr:twoCellAnchor>
  <xdr:twoCellAnchor>
    <xdr:from>
      <xdr:col>27</xdr:col>
      <xdr:colOff>58078</xdr:colOff>
      <xdr:row>1</xdr:row>
      <xdr:rowOff>151005</xdr:rowOff>
    </xdr:from>
    <xdr:to>
      <xdr:col>29</xdr:col>
      <xdr:colOff>-1</xdr:colOff>
      <xdr:row>3</xdr:row>
      <xdr:rowOff>187323</xdr:rowOff>
    </xdr:to>
    <xdr:sp macro="" textlink="">
      <xdr:nvSpPr>
        <xdr:cNvPr id="3" name="2 Pentágon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4066798" y="418170"/>
          <a:ext cx="650488" cy="315098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120" b="1" baseline="0"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109763</xdr:colOff>
      <xdr:row>34</xdr:row>
      <xdr:rowOff>110671</xdr:rowOff>
    </xdr:from>
    <xdr:to>
      <xdr:col>26</xdr:col>
      <xdr:colOff>464908</xdr:colOff>
      <xdr:row>34</xdr:row>
      <xdr:rowOff>4274910</xdr:rowOff>
    </xdr:to>
    <xdr:graphicFrame macro="">
      <xdr:nvGraphicFramePr>
        <xdr:cNvPr id="2" name="8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60700</xdr:colOff>
      <xdr:row>6</xdr:row>
      <xdr:rowOff>258404</xdr:rowOff>
    </xdr:from>
    <xdr:to>
      <xdr:col>28</xdr:col>
      <xdr:colOff>190769</xdr:colOff>
      <xdr:row>8</xdr:row>
      <xdr:rowOff>102855</xdr:rowOff>
    </xdr:to>
    <xdr:sp macro="" textlink="">
      <xdr:nvSpPr>
        <xdr:cNvPr id="3" name="2 Pentágo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H="1">
          <a:off x="13955994" y="1423816"/>
          <a:ext cx="701569" cy="315098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120" b="1" baseline="0"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oneCell">
    <xdr:from>
      <xdr:col>0</xdr:col>
      <xdr:colOff>347382</xdr:colOff>
      <xdr:row>1</xdr:row>
      <xdr:rowOff>102518</xdr:rowOff>
    </xdr:from>
    <xdr:to>
      <xdr:col>3</xdr:col>
      <xdr:colOff>15169</xdr:colOff>
      <xdr:row>7</xdr:row>
      <xdr:rowOff>97323</xdr:rowOff>
    </xdr:to>
    <xdr:pic>
      <xdr:nvPicPr>
        <xdr:cNvPr id="5" name="Imagen 4" descr="Imagen que contiene Logotipo&#10;&#10;Descripción generada automáticament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382" y="371459"/>
          <a:ext cx="1281434" cy="11602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109763</xdr:colOff>
      <xdr:row>34</xdr:row>
      <xdr:rowOff>110671</xdr:rowOff>
    </xdr:from>
    <xdr:to>
      <xdr:col>26</xdr:col>
      <xdr:colOff>464908</xdr:colOff>
      <xdr:row>34</xdr:row>
      <xdr:rowOff>4274910</xdr:rowOff>
    </xdr:to>
    <xdr:graphicFrame macro="">
      <xdr:nvGraphicFramePr>
        <xdr:cNvPr id="2" name="8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313765</xdr:colOff>
      <xdr:row>1</xdr:row>
      <xdr:rowOff>11206</xdr:rowOff>
    </xdr:from>
    <xdr:to>
      <xdr:col>3</xdr:col>
      <xdr:colOff>532265</xdr:colOff>
      <xdr:row>8</xdr:row>
      <xdr:rowOff>28347</xdr:rowOff>
    </xdr:to>
    <xdr:pic>
      <xdr:nvPicPr>
        <xdr:cNvPr id="6" name="Imagen 5" descr="Logotipo&#10;&#10;Descripción generada automáticament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94" y="280147"/>
          <a:ext cx="1383912" cy="1249788"/>
        </a:xfrm>
        <a:prstGeom prst="rect">
          <a:avLst/>
        </a:prstGeom>
      </xdr:spPr>
    </xdr:pic>
    <xdr:clientData/>
  </xdr:twoCellAnchor>
  <xdr:twoCellAnchor>
    <xdr:from>
      <xdr:col>24</xdr:col>
      <xdr:colOff>145677</xdr:colOff>
      <xdr:row>11</xdr:row>
      <xdr:rowOff>67235</xdr:rowOff>
    </xdr:from>
    <xdr:to>
      <xdr:col>26</xdr:col>
      <xdr:colOff>286952</xdr:colOff>
      <xdr:row>11</xdr:row>
      <xdr:rowOff>258508</xdr:rowOff>
    </xdr:to>
    <xdr:sp macro="" textlink="">
      <xdr:nvSpPr>
        <xdr:cNvPr id="7" name="2 Pentágon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 flipH="1">
          <a:off x="13088471" y="1714500"/>
          <a:ext cx="701569" cy="191273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120" b="1" baseline="0"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>
    <xdr:from>
      <xdr:col>28</xdr:col>
      <xdr:colOff>142875</xdr:colOff>
      <xdr:row>3</xdr:row>
      <xdr:rowOff>0</xdr:rowOff>
    </xdr:from>
    <xdr:to>
      <xdr:col>16384</xdr:col>
      <xdr:colOff>0</xdr:colOff>
      <xdr:row>4</xdr:row>
      <xdr:rowOff>112692</xdr:rowOff>
    </xdr:to>
    <xdr:sp macro="" textlink="">
      <xdr:nvSpPr>
        <xdr:cNvPr id="3" name="2 Pentágon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flipH="1">
          <a:off x="14251781" y="654844"/>
          <a:ext cx="785813" cy="315098"/>
        </a:xfrm>
        <a:prstGeom prst="homePlate">
          <a:avLst>
            <a:gd name="adj" fmla="val 6423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120" b="1" baseline="0"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143380</xdr:colOff>
      <xdr:row>34</xdr:row>
      <xdr:rowOff>99465</xdr:rowOff>
    </xdr:from>
    <xdr:to>
      <xdr:col>26</xdr:col>
      <xdr:colOff>498525</xdr:colOff>
      <xdr:row>34</xdr:row>
      <xdr:rowOff>4263704</xdr:rowOff>
    </xdr:to>
    <xdr:graphicFrame macro="">
      <xdr:nvGraphicFramePr>
        <xdr:cNvPr id="2" name="8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235323</xdr:colOff>
      <xdr:row>1</xdr:row>
      <xdr:rowOff>78440</xdr:rowOff>
    </xdr:from>
    <xdr:to>
      <xdr:col>3</xdr:col>
      <xdr:colOff>453823</xdr:colOff>
      <xdr:row>7</xdr:row>
      <xdr:rowOff>140405</xdr:rowOff>
    </xdr:to>
    <xdr:pic>
      <xdr:nvPicPr>
        <xdr:cNvPr id="5" name="Imagen 4" descr="Logotipo&#10;&#10;Descripción generada automáticament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52" y="100852"/>
          <a:ext cx="1383912" cy="1249788"/>
        </a:xfrm>
        <a:prstGeom prst="rect">
          <a:avLst/>
        </a:prstGeom>
      </xdr:spPr>
    </xdr:pic>
    <xdr:clientData/>
  </xdr:twoCellAnchor>
  <xdr:twoCellAnchor>
    <xdr:from>
      <xdr:col>28</xdr:col>
      <xdr:colOff>23811</xdr:colOff>
      <xdr:row>4</xdr:row>
      <xdr:rowOff>178594</xdr:rowOff>
    </xdr:from>
    <xdr:to>
      <xdr:col>16383</xdr:col>
      <xdr:colOff>571300</xdr:colOff>
      <xdr:row>6</xdr:row>
      <xdr:rowOff>89579</xdr:rowOff>
    </xdr:to>
    <xdr:sp macro="" textlink="">
      <xdr:nvSpPr>
        <xdr:cNvPr id="3" name="2 Pentágon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flipH="1">
          <a:off x="14287499" y="809625"/>
          <a:ext cx="809426" cy="315798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120" b="1" baseline="0"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109763</xdr:colOff>
      <xdr:row>34</xdr:row>
      <xdr:rowOff>110671</xdr:rowOff>
    </xdr:from>
    <xdr:to>
      <xdr:col>26</xdr:col>
      <xdr:colOff>464908</xdr:colOff>
      <xdr:row>34</xdr:row>
      <xdr:rowOff>4274910</xdr:rowOff>
    </xdr:to>
    <xdr:graphicFrame macro="">
      <xdr:nvGraphicFramePr>
        <xdr:cNvPr id="2" name="8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251200</xdr:colOff>
      <xdr:row>11</xdr:row>
      <xdr:rowOff>67904</xdr:rowOff>
    </xdr:from>
    <xdr:to>
      <xdr:col>26</xdr:col>
      <xdr:colOff>392475</xdr:colOff>
      <xdr:row>11</xdr:row>
      <xdr:rowOff>259177</xdr:rowOff>
    </xdr:to>
    <xdr:sp macro="" textlink="">
      <xdr:nvSpPr>
        <xdr:cNvPr id="3" name="2 Pentágo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flipH="1">
          <a:off x="13193994" y="1793610"/>
          <a:ext cx="701569" cy="191273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120" b="1" baseline="0"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oneCell">
    <xdr:from>
      <xdr:col>1</xdr:col>
      <xdr:colOff>392206</xdr:colOff>
      <xdr:row>1</xdr:row>
      <xdr:rowOff>56029</xdr:rowOff>
    </xdr:from>
    <xdr:to>
      <xdr:col>3</xdr:col>
      <xdr:colOff>610706</xdr:colOff>
      <xdr:row>7</xdr:row>
      <xdr:rowOff>162817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35" y="324970"/>
          <a:ext cx="1383912" cy="12497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14</xdr:row>
      <xdr:rowOff>85725</xdr:rowOff>
    </xdr:from>
    <xdr:to>
      <xdr:col>10</xdr:col>
      <xdr:colOff>2152650</xdr:colOff>
      <xdr:row>26</xdr:row>
      <xdr:rowOff>190500</xdr:rowOff>
    </xdr:to>
    <xdr:graphicFrame macro="">
      <xdr:nvGraphicFramePr>
        <xdr:cNvPr id="2" name="5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670560</xdr:colOff>
          <xdr:row>9</xdr:row>
          <xdr:rowOff>426720</xdr:rowOff>
        </xdr:from>
        <xdr:to>
          <xdr:col>6</xdr:col>
          <xdr:colOff>975360</xdr:colOff>
          <xdr:row>10</xdr:row>
          <xdr:rowOff>182880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6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9</xdr:row>
          <xdr:rowOff>441960</xdr:rowOff>
        </xdr:from>
        <xdr:to>
          <xdr:col>8</xdr:col>
          <xdr:colOff>609600</xdr:colOff>
          <xdr:row>10</xdr:row>
          <xdr:rowOff>190500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6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655320</xdr:colOff>
          <xdr:row>10</xdr:row>
          <xdr:rowOff>213360</xdr:rowOff>
        </xdr:from>
        <xdr:to>
          <xdr:col>6</xdr:col>
          <xdr:colOff>960120</xdr:colOff>
          <xdr:row>11</xdr:row>
          <xdr:rowOff>198120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6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158750</xdr:colOff>
      <xdr:row>1</xdr:row>
      <xdr:rowOff>74083</xdr:rowOff>
    </xdr:from>
    <xdr:to>
      <xdr:col>2</xdr:col>
      <xdr:colOff>727745</xdr:colOff>
      <xdr:row>4</xdr:row>
      <xdr:rowOff>276121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083" y="243416"/>
          <a:ext cx="1383912" cy="1249788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2</xdr:row>
      <xdr:rowOff>0</xdr:rowOff>
    </xdr:from>
    <xdr:to>
      <xdr:col>12</xdr:col>
      <xdr:colOff>701569</xdr:colOff>
      <xdr:row>2</xdr:row>
      <xdr:rowOff>315098</xdr:rowOff>
    </xdr:to>
    <xdr:sp macro="" textlink="">
      <xdr:nvSpPr>
        <xdr:cNvPr id="5" name="2 Pentágon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 flipH="1">
          <a:off x="12498917" y="518583"/>
          <a:ext cx="701569" cy="315098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120" b="1" baseline="0"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ucho\SIG\Tablero%20de%20Indicadores_Paulo%20And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ro de Indicadores"/>
      <sheetName val="1"/>
      <sheetName val="2"/>
      <sheetName val="3"/>
      <sheetName val="Hoja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7" zoomScale="70" zoomScaleNormal="70" workbookViewId="0">
      <pane xSplit="1" ySplit="6" topLeftCell="B13" activePane="bottomRight" state="frozen"/>
      <selection pane="topRight" activeCell="B7" sqref="B7"/>
      <selection pane="bottomLeft" activeCell="A13" sqref="A13"/>
      <selection pane="bottomRight" activeCell="E18" sqref="E18"/>
    </sheetView>
  </sheetViews>
  <sheetFormatPr baseColWidth="10" defaultColWidth="0" defaultRowHeight="14.4" zeroHeight="1" x14ac:dyDescent="0.3"/>
  <cols>
    <col min="1" max="1" width="3.6640625" style="91" customWidth="1"/>
    <col min="2" max="2" width="17.33203125" style="91" customWidth="1"/>
    <col min="3" max="3" width="33.88671875" style="91" customWidth="1"/>
    <col min="4" max="4" width="32.5546875" style="91" customWidth="1"/>
    <col min="5" max="5" width="30.109375" style="91" customWidth="1"/>
    <col min="6" max="6" width="10.6640625" style="91" customWidth="1"/>
    <col min="7" max="7" width="14.109375" style="91" customWidth="1"/>
    <col min="8" max="10" width="10.6640625" style="91" customWidth="1"/>
    <col min="11" max="11" width="16.6640625" style="91" customWidth="1"/>
    <col min="12" max="12" width="32.88671875" style="91" customWidth="1"/>
    <col min="13" max="13" width="4" style="91" customWidth="1"/>
    <col min="14" max="16384" width="0" style="91" hidden="1"/>
  </cols>
  <sheetData>
    <row r="1" spans="1:13" s="84" customFormat="1" ht="21" x14ac:dyDescent="0.25">
      <c r="A1" s="198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200"/>
    </row>
    <row r="2" spans="1:13" s="84" customFormat="1" ht="21" x14ac:dyDescent="0.2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7"/>
    </row>
    <row r="3" spans="1:13" s="84" customFormat="1" x14ac:dyDescent="0.3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90"/>
    </row>
    <row r="4" spans="1:13" x14ac:dyDescent="0.3">
      <c r="A4" s="88"/>
      <c r="B4" s="89"/>
      <c r="C4" s="89"/>
      <c r="L4" s="92"/>
    </row>
    <row r="5" spans="1:13" x14ac:dyDescent="0.3">
      <c r="A5" s="88"/>
      <c r="B5" s="89"/>
      <c r="C5" s="89"/>
      <c r="L5" s="92"/>
    </row>
    <row r="6" spans="1:13" ht="12" customHeight="1" x14ac:dyDescent="0.3">
      <c r="A6" s="88"/>
      <c r="B6" s="89"/>
      <c r="C6" s="89"/>
      <c r="L6" s="92"/>
    </row>
    <row r="7" spans="1:13" ht="108" customHeight="1" x14ac:dyDescent="0.3">
      <c r="A7" s="93"/>
      <c r="B7" s="94"/>
      <c r="C7" s="95"/>
      <c r="D7" s="212" t="s">
        <v>0</v>
      </c>
      <c r="E7" s="212"/>
      <c r="F7" s="212"/>
      <c r="G7" s="212"/>
      <c r="H7" s="212"/>
      <c r="I7" s="212"/>
      <c r="J7" s="212"/>
      <c r="K7" s="212"/>
      <c r="L7" s="213"/>
    </row>
    <row r="8" spans="1:13" ht="15.6" x14ac:dyDescent="0.3">
      <c r="A8" s="93"/>
      <c r="B8" s="94"/>
      <c r="C8" s="95"/>
      <c r="D8" s="99"/>
      <c r="E8" s="99"/>
      <c r="F8" s="99"/>
      <c r="G8" s="96"/>
      <c r="H8" s="96"/>
      <c r="I8" s="97"/>
      <c r="J8" s="97"/>
      <c r="K8" s="97"/>
      <c r="L8" s="98"/>
    </row>
    <row r="9" spans="1:13" ht="22.8" x14ac:dyDescent="0.4">
      <c r="A9" s="93"/>
      <c r="B9" s="100" t="s">
        <v>1</v>
      </c>
      <c r="C9" s="139" t="s">
        <v>2</v>
      </c>
      <c r="D9" s="139"/>
      <c r="E9" s="139"/>
      <c r="F9" s="214" t="s">
        <v>3</v>
      </c>
      <c r="G9" s="214"/>
      <c r="H9" s="140">
        <v>2026</v>
      </c>
      <c r="I9" s="142"/>
      <c r="J9" s="142"/>
      <c r="K9" s="142"/>
      <c r="L9" s="141"/>
    </row>
    <row r="10" spans="1:13" ht="21" thickBot="1" x14ac:dyDescent="0.35">
      <c r="A10" s="101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3"/>
      <c r="M10" s="104"/>
    </row>
    <row r="11" spans="1:13" ht="30" customHeight="1" thickBot="1" x14ac:dyDescent="0.35">
      <c r="A11" s="205" t="s">
        <v>4</v>
      </c>
      <c r="B11" s="203" t="s">
        <v>5</v>
      </c>
      <c r="C11" s="201" t="s">
        <v>6</v>
      </c>
      <c r="D11" s="201" t="s">
        <v>7</v>
      </c>
      <c r="E11" s="201" t="s">
        <v>8</v>
      </c>
      <c r="F11" s="201" t="s">
        <v>9</v>
      </c>
      <c r="G11" s="203" t="s">
        <v>10</v>
      </c>
      <c r="H11" s="207"/>
      <c r="I11" s="207"/>
      <c r="J11" s="208"/>
      <c r="K11" s="207" t="s">
        <v>11</v>
      </c>
      <c r="L11" s="201" t="s">
        <v>12</v>
      </c>
      <c r="M11" s="105" t="s">
        <v>13</v>
      </c>
    </row>
    <row r="12" spans="1:13" ht="73.5" customHeight="1" thickBot="1" x14ac:dyDescent="0.35">
      <c r="A12" s="206"/>
      <c r="B12" s="204"/>
      <c r="C12" s="202"/>
      <c r="D12" s="202"/>
      <c r="E12" s="202"/>
      <c r="F12" s="202"/>
      <c r="G12" s="106" t="s">
        <v>14</v>
      </c>
      <c r="H12" s="210" t="s">
        <v>15</v>
      </c>
      <c r="I12" s="211"/>
      <c r="J12" s="107" t="s">
        <v>16</v>
      </c>
      <c r="K12" s="209"/>
      <c r="L12" s="202"/>
      <c r="M12" s="105" t="s">
        <v>17</v>
      </c>
    </row>
    <row r="13" spans="1:13" ht="105" customHeight="1" x14ac:dyDescent="0.3">
      <c r="A13" s="108">
        <v>1</v>
      </c>
      <c r="B13" s="126" t="s">
        <v>18</v>
      </c>
      <c r="C13" s="127" t="s">
        <v>19</v>
      </c>
      <c r="D13" s="128" t="s">
        <v>20</v>
      </c>
      <c r="E13" s="133" t="s">
        <v>17</v>
      </c>
      <c r="F13" s="122">
        <v>0.9</v>
      </c>
      <c r="G13" s="122">
        <v>0.9</v>
      </c>
      <c r="H13" s="122">
        <v>0.8</v>
      </c>
      <c r="I13" s="122">
        <v>0.7</v>
      </c>
      <c r="J13" s="122">
        <v>0.7</v>
      </c>
      <c r="K13" s="129" t="s">
        <v>21</v>
      </c>
      <c r="L13" s="123" t="s">
        <v>22</v>
      </c>
    </row>
    <row r="14" spans="1:13" ht="110.25" customHeight="1" x14ac:dyDescent="0.3">
      <c r="A14" s="108">
        <v>2</v>
      </c>
      <c r="B14" s="126" t="s">
        <v>18</v>
      </c>
      <c r="C14" s="130" t="s">
        <v>132</v>
      </c>
      <c r="D14" s="120" t="s">
        <v>133</v>
      </c>
      <c r="E14" s="121" t="s">
        <v>17</v>
      </c>
      <c r="F14" s="122">
        <v>1</v>
      </c>
      <c r="G14" s="122">
        <v>1</v>
      </c>
      <c r="H14" s="122">
        <v>0.9</v>
      </c>
      <c r="I14" s="122">
        <v>0.8</v>
      </c>
      <c r="J14" s="122">
        <v>0.7</v>
      </c>
      <c r="K14" s="120" t="s">
        <v>23</v>
      </c>
      <c r="L14" s="123" t="s">
        <v>22</v>
      </c>
    </row>
    <row r="15" spans="1:13" ht="110.25" customHeight="1" x14ac:dyDescent="0.3">
      <c r="A15" s="108">
        <v>3</v>
      </c>
      <c r="B15" s="126" t="s">
        <v>18</v>
      </c>
      <c r="C15" s="130" t="s">
        <v>135</v>
      </c>
      <c r="D15" s="120" t="s">
        <v>136</v>
      </c>
      <c r="E15" s="124" t="s">
        <v>17</v>
      </c>
      <c r="F15" s="122">
        <v>1</v>
      </c>
      <c r="G15" s="122">
        <v>1</v>
      </c>
      <c r="H15" s="122">
        <v>0.9</v>
      </c>
      <c r="I15" s="122">
        <v>0.8</v>
      </c>
      <c r="J15" s="122">
        <v>0.7</v>
      </c>
      <c r="K15" s="120" t="s">
        <v>127</v>
      </c>
      <c r="L15" s="123" t="s">
        <v>22</v>
      </c>
    </row>
    <row r="16" spans="1:13" ht="154.19999999999999" customHeight="1" x14ac:dyDescent="0.3">
      <c r="A16" s="108">
        <v>4</v>
      </c>
      <c r="B16" s="126" t="s">
        <v>18</v>
      </c>
      <c r="C16" s="131" t="s">
        <v>24</v>
      </c>
      <c r="D16" s="120" t="s">
        <v>25</v>
      </c>
      <c r="E16" s="124" t="s">
        <v>17</v>
      </c>
      <c r="F16" s="122">
        <v>1</v>
      </c>
      <c r="G16" s="122">
        <v>0.9</v>
      </c>
      <c r="H16" s="122">
        <v>0.8</v>
      </c>
      <c r="I16" s="122">
        <v>0.7</v>
      </c>
      <c r="J16" s="122">
        <v>0.6</v>
      </c>
      <c r="K16" s="120" t="s">
        <v>23</v>
      </c>
      <c r="L16" s="123" t="s">
        <v>22</v>
      </c>
    </row>
    <row r="17" spans="1:12" ht="109.8" customHeight="1" x14ac:dyDescent="0.3">
      <c r="A17" s="108">
        <v>5</v>
      </c>
      <c r="B17" s="126" t="s">
        <v>26</v>
      </c>
      <c r="C17" s="132" t="s">
        <v>27</v>
      </c>
      <c r="D17" s="120" t="s">
        <v>28</v>
      </c>
      <c r="E17" s="121" t="s">
        <v>17</v>
      </c>
      <c r="F17" s="134">
        <v>1</v>
      </c>
      <c r="G17" s="134">
        <v>0.9</v>
      </c>
      <c r="H17" s="122">
        <v>0.8</v>
      </c>
      <c r="I17" s="122">
        <v>0.7</v>
      </c>
      <c r="J17" s="122">
        <v>0.6</v>
      </c>
      <c r="K17" s="125" t="s">
        <v>21</v>
      </c>
      <c r="L17" s="123" t="s">
        <v>22</v>
      </c>
    </row>
    <row r="18" spans="1:12" ht="156" customHeight="1" x14ac:dyDescent="0.3">
      <c r="B18" s="126" t="s">
        <v>26</v>
      </c>
      <c r="C18" s="132" t="s">
        <v>29</v>
      </c>
      <c r="D18" s="196" t="s">
        <v>30</v>
      </c>
      <c r="E18" s="121" t="s">
        <v>17</v>
      </c>
      <c r="F18" s="134">
        <v>1</v>
      </c>
      <c r="G18" s="134">
        <v>1</v>
      </c>
      <c r="H18" s="134">
        <v>0.9</v>
      </c>
      <c r="I18" s="134">
        <v>0.8</v>
      </c>
      <c r="J18" s="134">
        <v>0.79</v>
      </c>
      <c r="K18" s="125" t="s">
        <v>23</v>
      </c>
      <c r="L18" s="123" t="s">
        <v>31</v>
      </c>
    </row>
    <row r="19" spans="1:12" ht="90" x14ac:dyDescent="0.3">
      <c r="B19" s="126" t="s">
        <v>26</v>
      </c>
      <c r="C19" s="132" t="s">
        <v>130</v>
      </c>
      <c r="D19" s="120" t="s">
        <v>32</v>
      </c>
      <c r="E19" s="121" t="s">
        <v>17</v>
      </c>
      <c r="F19" s="134">
        <v>1</v>
      </c>
      <c r="G19" s="134">
        <v>1</v>
      </c>
      <c r="H19" s="134">
        <v>0.9</v>
      </c>
      <c r="I19" s="134">
        <v>0.8</v>
      </c>
      <c r="J19" s="134">
        <v>0.79</v>
      </c>
      <c r="K19" s="125" t="s">
        <v>21</v>
      </c>
      <c r="L19" s="123" t="s">
        <v>22</v>
      </c>
    </row>
    <row r="20" spans="1:12" ht="45" x14ac:dyDescent="0.3">
      <c r="B20" s="126" t="s">
        <v>18</v>
      </c>
      <c r="C20" s="132" t="s">
        <v>137</v>
      </c>
      <c r="D20" s="120" t="s">
        <v>138</v>
      </c>
      <c r="E20" s="121" t="s">
        <v>17</v>
      </c>
      <c r="F20" s="134">
        <v>1</v>
      </c>
      <c r="G20" s="134">
        <v>1</v>
      </c>
      <c r="H20" s="134">
        <v>0.9</v>
      </c>
      <c r="I20" s="134">
        <v>0.8</v>
      </c>
      <c r="J20" s="134">
        <v>0.79</v>
      </c>
      <c r="K20" s="125" t="s">
        <v>127</v>
      </c>
      <c r="L20" s="123" t="s">
        <v>22</v>
      </c>
    </row>
    <row r="21" spans="1:12" ht="15" x14ac:dyDescent="0.3">
      <c r="B21" s="126" t="s">
        <v>26</v>
      </c>
      <c r="C21" s="132"/>
      <c r="D21" s="120"/>
      <c r="E21" s="121"/>
      <c r="F21" s="134"/>
      <c r="G21" s="134"/>
      <c r="H21" s="134"/>
      <c r="I21" s="134"/>
      <c r="J21" s="134"/>
      <c r="K21" s="125"/>
      <c r="L21" s="123"/>
    </row>
    <row r="22" spans="1:12" ht="15" x14ac:dyDescent="0.3">
      <c r="B22" s="126" t="s">
        <v>26</v>
      </c>
      <c r="C22" s="132"/>
      <c r="D22" s="120"/>
      <c r="E22" s="121"/>
      <c r="F22" s="134"/>
      <c r="G22" s="134"/>
      <c r="H22" s="134"/>
      <c r="I22" s="134"/>
      <c r="J22" s="134"/>
      <c r="K22" s="125"/>
      <c r="L22" s="123"/>
    </row>
    <row r="23" spans="1:12" ht="15" x14ac:dyDescent="0.3">
      <c r="B23" s="126" t="s">
        <v>26</v>
      </c>
      <c r="C23" s="132"/>
      <c r="D23" s="120"/>
      <c r="E23" s="121"/>
      <c r="F23" s="134"/>
      <c r="G23" s="134"/>
      <c r="H23" s="134"/>
      <c r="I23" s="134"/>
      <c r="J23" s="134"/>
      <c r="K23" s="125"/>
      <c r="L23" s="123"/>
    </row>
    <row r="24" spans="1:12" ht="15" x14ac:dyDescent="0.3">
      <c r="B24" s="126" t="s">
        <v>26</v>
      </c>
      <c r="C24" s="132"/>
      <c r="D24" s="120"/>
      <c r="E24" s="121"/>
      <c r="F24" s="134"/>
      <c r="G24" s="134"/>
      <c r="H24" s="134"/>
      <c r="I24" s="134"/>
      <c r="J24" s="134"/>
      <c r="K24" s="125"/>
      <c r="L24" s="123"/>
    </row>
    <row r="25" spans="1:12" ht="15" x14ac:dyDescent="0.3">
      <c r="B25" s="126" t="s">
        <v>26</v>
      </c>
      <c r="C25" s="132"/>
      <c r="D25" s="120"/>
      <c r="E25" s="121"/>
      <c r="F25" s="134"/>
      <c r="G25" s="134"/>
      <c r="H25" s="134"/>
      <c r="I25" s="134"/>
      <c r="J25" s="134"/>
      <c r="K25" s="125"/>
      <c r="L25" s="123"/>
    </row>
    <row r="26" spans="1:12" x14ac:dyDescent="0.3"/>
    <row r="27" spans="1:12" x14ac:dyDescent="0.3"/>
    <row r="28" spans="1:12" x14ac:dyDescent="0.3"/>
    <row r="29" spans="1:12" x14ac:dyDescent="0.3"/>
    <row r="30" spans="1:12" x14ac:dyDescent="0.3"/>
    <row r="31" spans="1:12" x14ac:dyDescent="0.3"/>
    <row r="32" spans="1:1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</sheetData>
  <sheetProtection selectLockedCells="1"/>
  <mergeCells count="13">
    <mergeCell ref="A1:L1"/>
    <mergeCell ref="C11:C12"/>
    <mergeCell ref="F11:F12"/>
    <mergeCell ref="B11:B12"/>
    <mergeCell ref="A11:A12"/>
    <mergeCell ref="L11:L12"/>
    <mergeCell ref="D11:D12"/>
    <mergeCell ref="G11:J11"/>
    <mergeCell ref="K11:K12"/>
    <mergeCell ref="E11:E12"/>
    <mergeCell ref="H12:I12"/>
    <mergeCell ref="D7:L7"/>
    <mergeCell ref="F9:G9"/>
  </mergeCells>
  <phoneticPr fontId="45" type="noConversion"/>
  <dataValidations count="3">
    <dataValidation type="list" allowBlank="1" showInputMessage="1" showErrorMessage="1" sqref="K13:K25" xr:uid="{00000000-0002-0000-0000-000000000000}">
      <formula1>Frecuencia</formula1>
    </dataValidation>
    <dataValidation type="list" allowBlank="1" showInputMessage="1" showErrorMessage="1" sqref="B13:B25" xr:uid="{00000000-0002-0000-0000-000001000000}">
      <formula1>Tipo_Indicadores</formula1>
    </dataValidation>
    <dataValidation type="list" showInputMessage="1" showErrorMessage="1" sqref="E13:E25" xr:uid="{00000000-0002-0000-0000-000002000000}">
      <formula1>$M$9:$M$12</formula1>
    </dataValidation>
  </dataValidations>
  <hyperlinks>
    <hyperlink ref="C13" location="'1'!A1" display="Funcionarios beneficiados con el PIC" xr:uid="{00000000-0004-0000-0000-000000000000}"/>
    <hyperlink ref="B17" location="'7'!Títulos_a_imprimir" display="Evaluación de desempeño" xr:uid="{00000000-0004-0000-0000-000002000000}"/>
    <hyperlink ref="C16" location="'3'!A1" display="Actividades planeadas y ejecutadas con el Programa de Bienestar Social Laboral" xr:uid="{00000000-0004-0000-0000-000004000000}"/>
    <hyperlink ref="B18" location="'7'!Títulos_a_imprimir" display="Evaluación de desempeño" xr:uid="{E200A44E-2B02-4A1E-8F2E-273944008845}"/>
    <hyperlink ref="B19" location="'7'!Títulos_a_imprimir" display="Evaluación de desempeño" xr:uid="{179E4631-E322-4F32-9846-E7C518487507}"/>
    <hyperlink ref="B20" location="'7'!Títulos_a_imprimir" display="Evaluación de desempeño" xr:uid="{232E1025-27D9-48E2-A341-BD4680698045}"/>
    <hyperlink ref="B21" location="'7'!Títulos_a_imprimir" display="Evaluación de desempeño" xr:uid="{7C3CA492-0AA0-4D0F-8338-936F6E5890E0}"/>
    <hyperlink ref="B22" location="'7'!Títulos_a_imprimir" display="Evaluación de desempeño" xr:uid="{90743D57-ECBF-4A9C-A781-5497DD090A06}"/>
    <hyperlink ref="B23" location="'7'!Títulos_a_imprimir" display="Evaluación de desempeño" xr:uid="{0CE6BC4F-9158-40D9-9E6C-52CB1C542DDF}"/>
    <hyperlink ref="B24" location="'7'!Títulos_a_imprimir" display="Evaluación de desempeño" xr:uid="{5C6AC768-CE1D-41F0-A6BD-406FD4A0EECF}"/>
    <hyperlink ref="B25" location="'7'!Títulos_a_imprimir" display="Evaluación de desempeño" xr:uid="{A4A9FA50-A0F4-49B8-9B89-E282EFDB5A32}"/>
  </hyperlinks>
  <pageMargins left="0.78740157480314965" right="0.19685039370078741" top="0.39370078740157483" bottom="0.59055118110236227" header="0" footer="0.39370078740157483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0"/>
  <sheetViews>
    <sheetView showGridLines="0" topLeftCell="A18" zoomScale="82" zoomScaleNormal="82" zoomScalePageLayoutView="82" workbookViewId="0">
      <selection activeCell="S24" sqref="S24:AA33"/>
    </sheetView>
  </sheetViews>
  <sheetFormatPr baseColWidth="10" defaultColWidth="0" defaultRowHeight="14.25" customHeight="1" zeroHeight="1" x14ac:dyDescent="0.25"/>
  <cols>
    <col min="1" max="1" width="0.88671875" style="1" customWidth="1"/>
    <col min="2" max="2" width="16.6640625" style="1" customWidth="1"/>
    <col min="3" max="3" width="0.88671875" style="1" customWidth="1"/>
    <col min="4" max="4" width="13.6640625" style="1" customWidth="1"/>
    <col min="5" max="5" width="0.88671875" style="1" customWidth="1"/>
    <col min="6" max="17" width="8.6640625" style="1" customWidth="1"/>
    <col min="18" max="18" width="0.88671875" style="1" customWidth="1"/>
    <col min="19" max="19" width="18.5546875" style="1" customWidth="1"/>
    <col min="20" max="20" width="0.88671875" style="1" customWidth="1"/>
    <col min="21" max="21" width="13.6640625" style="1" customWidth="1"/>
    <col min="22" max="22" width="0.88671875" style="1" customWidth="1"/>
    <col min="23" max="23" width="20.5546875" style="1" customWidth="1"/>
    <col min="24" max="24" width="0.88671875" style="1" customWidth="1"/>
    <col min="25" max="25" width="7.5546875" style="1" customWidth="1"/>
    <col min="26" max="26" width="0.88671875" style="1" customWidth="1"/>
    <col min="27" max="27" width="7.6640625" style="1" customWidth="1"/>
    <col min="28" max="28" width="0.88671875" style="1" customWidth="1"/>
    <col min="29" max="29" width="13.5546875" style="1" customWidth="1"/>
    <col min="30" max="16384" width="0" style="1" hidden="1"/>
  </cols>
  <sheetData>
    <row r="1" spans="1:28" ht="21" x14ac:dyDescent="0.4">
      <c r="A1" s="160"/>
      <c r="B1" s="161"/>
      <c r="C1" s="162"/>
      <c r="D1" s="163"/>
      <c r="E1" s="162"/>
      <c r="F1" s="215" t="s">
        <v>33</v>
      </c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  <c r="V1" s="160"/>
      <c r="W1" s="179" t="s">
        <v>34</v>
      </c>
      <c r="X1" s="180"/>
      <c r="Y1" s="181"/>
      <c r="Z1" s="181"/>
      <c r="AA1" s="182"/>
      <c r="AB1" s="160"/>
    </row>
    <row r="2" spans="1:28" ht="15.75" customHeight="1" x14ac:dyDescent="0.3">
      <c r="B2" s="164"/>
      <c r="D2" s="165"/>
      <c r="F2" s="218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20"/>
      <c r="W2" s="224" t="s">
        <v>35</v>
      </c>
      <c r="X2" s="184"/>
      <c r="Y2" s="185"/>
      <c r="Z2" s="185"/>
      <c r="AA2" s="186"/>
    </row>
    <row r="3" spans="1:28" ht="6" customHeight="1" x14ac:dyDescent="0.3">
      <c r="B3" s="164"/>
      <c r="D3" s="165"/>
      <c r="F3" s="218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20"/>
      <c r="W3" s="225"/>
      <c r="X3" s="175"/>
      <c r="Y3" s="176"/>
      <c r="Z3" s="176"/>
      <c r="AA3" s="177"/>
    </row>
    <row r="4" spans="1:28" ht="15.75" customHeight="1" x14ac:dyDescent="0.3">
      <c r="B4" s="164"/>
      <c r="D4" s="165"/>
      <c r="F4" s="218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20"/>
      <c r="W4" s="226" t="s">
        <v>36</v>
      </c>
      <c r="X4" s="185"/>
      <c r="Y4" s="185"/>
      <c r="Z4" s="185"/>
      <c r="AA4" s="186"/>
    </row>
    <row r="5" spans="1:28" ht="3.75" customHeight="1" x14ac:dyDescent="0.3">
      <c r="B5" s="164"/>
      <c r="D5" s="165"/>
      <c r="F5" s="218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20"/>
      <c r="W5" s="227"/>
      <c r="X5" s="171"/>
      <c r="Y5" s="171"/>
      <c r="Z5" s="171"/>
      <c r="AA5" s="173"/>
    </row>
    <row r="6" spans="1:28" ht="15.75" customHeight="1" x14ac:dyDescent="0.3">
      <c r="B6" s="164"/>
      <c r="D6" s="165"/>
      <c r="F6" s="218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20"/>
      <c r="W6" s="228"/>
      <c r="X6" s="176"/>
      <c r="Y6" s="176"/>
      <c r="Z6" s="176"/>
      <c r="AA6" s="177"/>
    </row>
    <row r="7" spans="1:28" ht="21" x14ac:dyDescent="0.4">
      <c r="A7" s="160"/>
      <c r="B7" s="166"/>
      <c r="C7" s="160"/>
      <c r="D7" s="167"/>
      <c r="E7" s="160"/>
      <c r="F7" s="218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20"/>
      <c r="V7" s="160"/>
      <c r="W7" s="195" t="s">
        <v>37</v>
      </c>
      <c r="X7" s="172"/>
      <c r="Y7" s="229" t="s">
        <v>38</v>
      </c>
      <c r="Z7" s="229"/>
      <c r="AA7" s="230"/>
      <c r="AB7" s="160"/>
    </row>
    <row r="8" spans="1:28" ht="6.75" customHeight="1" x14ac:dyDescent="0.3">
      <c r="B8" s="168"/>
      <c r="C8" s="169"/>
      <c r="D8" s="170"/>
      <c r="F8" s="221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3"/>
      <c r="W8" s="183"/>
      <c r="X8" s="176"/>
      <c r="Y8" s="176"/>
      <c r="Z8" s="176"/>
      <c r="AA8" s="177"/>
    </row>
    <row r="9" spans="1:28" ht="6.75" customHeight="1" x14ac:dyDescent="0.3">
      <c r="E9" s="169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W9" s="171"/>
      <c r="X9" s="171"/>
      <c r="Y9" s="171"/>
      <c r="Z9" s="171"/>
      <c r="AA9" s="171"/>
    </row>
    <row r="10" spans="1:28" ht="9" customHeight="1" thickBot="1" x14ac:dyDescent="0.3"/>
    <row r="11" spans="1:28" ht="5.25" customHeight="1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8"/>
    </row>
    <row r="12" spans="1:28" ht="28.5" customHeight="1" x14ac:dyDescent="0.25">
      <c r="A12" s="9"/>
      <c r="B12" s="231" t="s">
        <v>6</v>
      </c>
      <c r="C12" s="232"/>
      <c r="D12" s="233"/>
      <c r="E12" s="143"/>
      <c r="F12" s="234" t="str">
        <f>'Tablero de Indicadores'!C13</f>
        <v>Cumplimiento Estado Sanitario en los puntos de venta</v>
      </c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6"/>
      <c r="AB12" s="10"/>
    </row>
    <row r="13" spans="1:28" ht="5.0999999999999996" customHeight="1" x14ac:dyDescent="0.25">
      <c r="A13" s="9"/>
      <c r="B13" s="144"/>
      <c r="C13" s="144"/>
      <c r="D13" s="144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0"/>
    </row>
    <row r="14" spans="1:28" ht="30" customHeight="1" x14ac:dyDescent="0.25">
      <c r="A14" s="9"/>
      <c r="B14" s="237" t="s">
        <v>39</v>
      </c>
      <c r="C14" s="238"/>
      <c r="D14" s="239"/>
      <c r="E14" s="143"/>
      <c r="F14" s="240" t="str">
        <f>'Tablero de Indicadores'!C9</f>
        <v>ASEGURAMIENTO DE CALIDAD</v>
      </c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2"/>
      <c r="R14" s="145"/>
      <c r="S14" s="146" t="s">
        <v>9</v>
      </c>
      <c r="T14" s="145"/>
      <c r="U14" s="192">
        <f>'Tablero de Indicadores'!F13</f>
        <v>0.9</v>
      </c>
      <c r="V14" s="145"/>
      <c r="W14" s="147" t="s">
        <v>40</v>
      </c>
      <c r="X14" s="143"/>
      <c r="Y14" s="243" t="s">
        <v>41</v>
      </c>
      <c r="Z14" s="244"/>
      <c r="AA14" s="245"/>
      <c r="AB14" s="10"/>
    </row>
    <row r="15" spans="1:28" ht="5.0999999999999996" customHeight="1" x14ac:dyDescent="0.25">
      <c r="A15" s="9"/>
      <c r="B15" s="144"/>
      <c r="C15" s="144"/>
      <c r="D15" s="144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0"/>
    </row>
    <row r="16" spans="1:28" ht="34.5" customHeight="1" x14ac:dyDescent="0.25">
      <c r="A16" s="9"/>
      <c r="B16" s="237" t="s">
        <v>42</v>
      </c>
      <c r="C16" s="238"/>
      <c r="D16" s="246"/>
      <c r="E16" s="143"/>
      <c r="F16" s="247" t="str">
        <f>'Tablero de Indicadores'!D13</f>
        <v>(Total PDV sobre 90% / Total PDV)*100</v>
      </c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9"/>
      <c r="R16" s="143"/>
      <c r="S16" s="148" t="s">
        <v>43</v>
      </c>
      <c r="T16" s="143"/>
      <c r="U16" s="197" t="s">
        <v>131</v>
      </c>
      <c r="V16" s="143"/>
      <c r="W16" s="150" t="s">
        <v>44</v>
      </c>
      <c r="X16" s="143"/>
      <c r="Y16" s="151" t="s">
        <v>45</v>
      </c>
      <c r="Z16" s="152"/>
      <c r="AA16" s="193">
        <f>'Tablero de Indicadores'!G13</f>
        <v>0.9</v>
      </c>
      <c r="AB16" s="10"/>
    </row>
    <row r="17" spans="1:28" ht="5.0999999999999996" customHeight="1" x14ac:dyDescent="0.25">
      <c r="A17" s="9"/>
      <c r="B17" s="144"/>
      <c r="C17" s="144"/>
      <c r="D17" s="144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53"/>
      <c r="T17" s="143"/>
      <c r="U17" s="143"/>
      <c r="V17" s="143"/>
      <c r="W17" s="145"/>
      <c r="X17" s="143"/>
      <c r="Y17" s="154"/>
      <c r="Z17" s="154"/>
      <c r="AA17" s="155"/>
      <c r="AB17" s="10"/>
    </row>
    <row r="18" spans="1:28" ht="30" customHeight="1" x14ac:dyDescent="0.25">
      <c r="A18" s="9"/>
      <c r="B18" s="231" t="s">
        <v>46</v>
      </c>
      <c r="C18" s="232"/>
      <c r="D18" s="250"/>
      <c r="E18" s="143"/>
      <c r="F18" s="247" t="str">
        <f>'Tablero de Indicadores'!E13</f>
        <v>PORCENTAJE</v>
      </c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9"/>
      <c r="R18" s="143"/>
      <c r="S18" s="148" t="s">
        <v>5</v>
      </c>
      <c r="T18" s="143"/>
      <c r="U18" s="149" t="str">
        <f>'Tablero de Indicadores'!B13</f>
        <v>Eficacia</v>
      </c>
      <c r="V18" s="143"/>
      <c r="W18" s="156" t="s">
        <v>47</v>
      </c>
      <c r="X18" s="143"/>
      <c r="Y18" s="193">
        <f>'Tablero de Indicadores'!H13</f>
        <v>0.8</v>
      </c>
      <c r="Z18" s="157"/>
      <c r="AA18" s="193">
        <f>'Tablero de Indicadores'!I13</f>
        <v>0.7</v>
      </c>
      <c r="AB18" s="10"/>
    </row>
    <row r="19" spans="1:28" ht="4.5" customHeight="1" x14ac:dyDescent="0.25">
      <c r="A19" s="9"/>
      <c r="B19" s="144"/>
      <c r="C19" s="144"/>
      <c r="D19" s="144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54"/>
      <c r="Z19" s="154"/>
      <c r="AA19" s="155"/>
      <c r="AB19" s="10"/>
    </row>
    <row r="20" spans="1:28" ht="30" customHeight="1" x14ac:dyDescent="0.25">
      <c r="A20" s="9"/>
      <c r="B20" s="231" t="s">
        <v>48</v>
      </c>
      <c r="C20" s="232"/>
      <c r="D20" s="251"/>
      <c r="E20" s="143"/>
      <c r="F20" s="247" t="str">
        <f>'Tablero de Indicadores'!L13</f>
        <v>Coordinadora Aseguramiento de Calidad y SIG</v>
      </c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9"/>
      <c r="R20" s="143"/>
      <c r="S20" s="146" t="s">
        <v>49</v>
      </c>
      <c r="T20" s="143"/>
      <c r="U20" s="158">
        <v>2026</v>
      </c>
      <c r="V20" s="143"/>
      <c r="W20" s="159" t="s">
        <v>50</v>
      </c>
      <c r="X20" s="143"/>
      <c r="Y20" s="151" t="s">
        <v>51</v>
      </c>
      <c r="Z20" s="152"/>
      <c r="AA20" s="193">
        <f>'Tablero de Indicadores'!J13</f>
        <v>0.7</v>
      </c>
      <c r="AB20" s="10"/>
    </row>
    <row r="21" spans="1:28" ht="5.0999999999999996" customHeight="1" thickBot="1" x14ac:dyDescent="0.3">
      <c r="A21" s="11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13"/>
    </row>
    <row r="22" spans="1:28" ht="3.75" customHeight="1" thickBot="1" x14ac:dyDescent="0.3">
      <c r="A22" s="9"/>
      <c r="AB22" s="10"/>
    </row>
    <row r="23" spans="1:28" ht="5.0999999999999996" customHeight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8"/>
    </row>
    <row r="24" spans="1:28" ht="33" customHeight="1" x14ac:dyDescent="0.25">
      <c r="A24" s="9"/>
      <c r="B24" s="252" t="s">
        <v>52</v>
      </c>
      <c r="C24" s="253"/>
      <c r="D24" s="254"/>
      <c r="F24" s="67" t="s">
        <v>53</v>
      </c>
      <c r="G24" s="67" t="s">
        <v>54</v>
      </c>
      <c r="H24" s="66" t="s">
        <v>55</v>
      </c>
      <c r="I24" s="67" t="s">
        <v>56</v>
      </c>
      <c r="J24" s="67" t="s">
        <v>57</v>
      </c>
      <c r="K24" s="66" t="s">
        <v>58</v>
      </c>
      <c r="L24" s="67" t="s">
        <v>59</v>
      </c>
      <c r="M24" s="67" t="s">
        <v>60</v>
      </c>
      <c r="N24" s="66" t="s">
        <v>61</v>
      </c>
      <c r="O24" s="67" t="s">
        <v>62</v>
      </c>
      <c r="P24" s="67" t="s">
        <v>63</v>
      </c>
      <c r="Q24" s="66" t="s">
        <v>64</v>
      </c>
      <c r="R24" s="14"/>
      <c r="S24" s="255" t="s">
        <v>65</v>
      </c>
      <c r="T24" s="256"/>
      <c r="U24" s="256"/>
      <c r="V24" s="256"/>
      <c r="W24" s="256"/>
      <c r="X24" s="256"/>
      <c r="Y24" s="256"/>
      <c r="Z24" s="256"/>
      <c r="AA24" s="257"/>
      <c r="AB24" s="10"/>
    </row>
    <row r="25" spans="1:28" ht="5.0999999999999996" customHeight="1" x14ac:dyDescent="0.25">
      <c r="A25" s="9"/>
      <c r="B25" s="15"/>
      <c r="C25" s="15"/>
      <c r="D25" s="15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14"/>
      <c r="S25" s="258"/>
      <c r="T25" s="259"/>
      <c r="U25" s="259"/>
      <c r="V25" s="259"/>
      <c r="W25" s="259"/>
      <c r="X25" s="259"/>
      <c r="Y25" s="259"/>
      <c r="Z25" s="259"/>
      <c r="AA25" s="260"/>
      <c r="AB25" s="10"/>
    </row>
    <row r="26" spans="1:28" ht="13.8" x14ac:dyDescent="0.25">
      <c r="A26" s="9"/>
      <c r="B26" s="264" t="s">
        <v>66</v>
      </c>
      <c r="C26" s="265"/>
      <c r="D26" s="266"/>
      <c r="F26" s="82"/>
      <c r="G26" s="82"/>
      <c r="H26" s="82"/>
      <c r="I26" s="83"/>
      <c r="J26" s="83"/>
      <c r="K26" s="83"/>
      <c r="L26" s="83"/>
      <c r="M26" s="83"/>
      <c r="N26" s="83"/>
      <c r="O26" s="83"/>
      <c r="P26" s="83"/>
      <c r="Q26" s="83"/>
      <c r="R26" s="14"/>
      <c r="S26" s="258"/>
      <c r="T26" s="259"/>
      <c r="U26" s="259"/>
      <c r="V26" s="259"/>
      <c r="W26" s="259"/>
      <c r="X26" s="259"/>
      <c r="Y26" s="259"/>
      <c r="Z26" s="259"/>
      <c r="AA26" s="260"/>
      <c r="AB26" s="10"/>
    </row>
    <row r="27" spans="1:28" ht="13.8" x14ac:dyDescent="0.25">
      <c r="A27" s="9"/>
      <c r="B27" s="267" t="s">
        <v>67</v>
      </c>
      <c r="C27" s="268"/>
      <c r="D27" s="269"/>
      <c r="E27" s="1">
        <v>0</v>
      </c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14"/>
      <c r="S27" s="258"/>
      <c r="T27" s="259"/>
      <c r="U27" s="259"/>
      <c r="V27" s="259"/>
      <c r="W27" s="259"/>
      <c r="X27" s="259"/>
      <c r="Y27" s="259"/>
      <c r="Z27" s="259"/>
      <c r="AA27" s="260"/>
      <c r="AB27" s="10"/>
    </row>
    <row r="28" spans="1:28" ht="5.0999999999999996" customHeight="1" x14ac:dyDescent="0.25">
      <c r="A28" s="9"/>
      <c r="F28" s="17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4"/>
      <c r="S28" s="258"/>
      <c r="T28" s="259"/>
      <c r="U28" s="259"/>
      <c r="V28" s="259"/>
      <c r="W28" s="259"/>
      <c r="X28" s="259"/>
      <c r="Y28" s="259"/>
      <c r="Z28" s="259"/>
      <c r="AA28" s="260"/>
      <c r="AB28" s="10"/>
    </row>
    <row r="29" spans="1:28" ht="15" customHeight="1" x14ac:dyDescent="0.25">
      <c r="A29" s="9"/>
      <c r="B29" s="264" t="s">
        <v>68</v>
      </c>
      <c r="C29" s="265"/>
      <c r="D29" s="266"/>
      <c r="F29" s="136">
        <v>1</v>
      </c>
      <c r="G29" s="136">
        <v>1</v>
      </c>
      <c r="H29" s="136">
        <v>1</v>
      </c>
      <c r="I29" s="136">
        <v>1</v>
      </c>
      <c r="J29" s="136">
        <v>1</v>
      </c>
      <c r="K29" s="136">
        <v>1</v>
      </c>
      <c r="L29" s="136">
        <v>1</v>
      </c>
      <c r="M29" s="136">
        <v>1</v>
      </c>
      <c r="N29" s="136">
        <v>1</v>
      </c>
      <c r="O29" s="136">
        <v>1</v>
      </c>
      <c r="P29" s="136">
        <v>1</v>
      </c>
      <c r="Q29" s="136">
        <v>1</v>
      </c>
      <c r="R29" s="14"/>
      <c r="S29" s="258"/>
      <c r="T29" s="259"/>
      <c r="U29" s="259"/>
      <c r="V29" s="259"/>
      <c r="W29" s="259"/>
      <c r="X29" s="259"/>
      <c r="Y29" s="259"/>
      <c r="Z29" s="259"/>
      <c r="AA29" s="260"/>
      <c r="AB29" s="10"/>
    </row>
    <row r="30" spans="1:28" ht="5.0999999999999996" customHeight="1" x14ac:dyDescent="0.25">
      <c r="A30" s="9"/>
      <c r="B30" s="270"/>
      <c r="C30" s="270"/>
      <c r="D30" s="270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8"/>
      <c r="Q30" s="138"/>
      <c r="R30" s="14"/>
      <c r="S30" s="258"/>
      <c r="T30" s="259"/>
      <c r="U30" s="259"/>
      <c r="V30" s="259"/>
      <c r="W30" s="259"/>
      <c r="X30" s="259"/>
      <c r="Y30" s="259"/>
      <c r="Z30" s="259"/>
      <c r="AA30" s="260"/>
      <c r="AB30" s="10"/>
    </row>
    <row r="31" spans="1:28" ht="15" customHeight="1" x14ac:dyDescent="0.25">
      <c r="A31" s="9"/>
      <c r="B31" s="264" t="s">
        <v>69</v>
      </c>
      <c r="C31" s="265"/>
      <c r="D31" s="266"/>
      <c r="F31" s="136">
        <f>G31</f>
        <v>0.7</v>
      </c>
      <c r="G31" s="136">
        <f>H31</f>
        <v>0.7</v>
      </c>
      <c r="H31" s="136">
        <f>I31</f>
        <v>0.7</v>
      </c>
      <c r="I31" s="136">
        <f t="shared" ref="I31:O31" si="0">J31</f>
        <v>0.7</v>
      </c>
      <c r="J31" s="136">
        <f t="shared" si="0"/>
        <v>0.7</v>
      </c>
      <c r="K31" s="136">
        <f t="shared" si="0"/>
        <v>0.7</v>
      </c>
      <c r="L31" s="136">
        <f t="shared" si="0"/>
        <v>0.7</v>
      </c>
      <c r="M31" s="136">
        <f t="shared" si="0"/>
        <v>0.7</v>
      </c>
      <c r="N31" s="136">
        <f t="shared" si="0"/>
        <v>0.7</v>
      </c>
      <c r="O31" s="136">
        <f t="shared" si="0"/>
        <v>0.7</v>
      </c>
      <c r="P31" s="136">
        <f>Q31</f>
        <v>0.7</v>
      </c>
      <c r="Q31" s="136">
        <f>AA20</f>
        <v>0.7</v>
      </c>
      <c r="R31" s="14"/>
      <c r="S31" s="258"/>
      <c r="T31" s="259"/>
      <c r="U31" s="259"/>
      <c r="V31" s="259"/>
      <c r="W31" s="259"/>
      <c r="X31" s="259"/>
      <c r="Y31" s="259"/>
      <c r="Z31" s="259"/>
      <c r="AA31" s="260"/>
      <c r="AB31" s="10"/>
    </row>
    <row r="32" spans="1:28" ht="5.0999999999999996" customHeight="1" x14ac:dyDescent="0.25">
      <c r="A32" s="9"/>
      <c r="F32" s="73"/>
      <c r="G32" s="73"/>
      <c r="H32" s="73"/>
      <c r="I32" s="73"/>
      <c r="J32" s="73"/>
      <c r="K32" s="73"/>
      <c r="L32" s="73"/>
      <c r="M32" s="74"/>
      <c r="N32" s="73"/>
      <c r="O32" s="73"/>
      <c r="P32" s="73"/>
      <c r="Q32" s="73"/>
      <c r="R32" s="14"/>
      <c r="S32" s="258"/>
      <c r="T32" s="259"/>
      <c r="U32" s="259"/>
      <c r="V32" s="259"/>
      <c r="W32" s="259"/>
      <c r="X32" s="259"/>
      <c r="Y32" s="259"/>
      <c r="Z32" s="259"/>
      <c r="AA32" s="260"/>
      <c r="AB32" s="10"/>
    </row>
    <row r="33" spans="1:28" ht="13.8" x14ac:dyDescent="0.25">
      <c r="A33" s="9"/>
      <c r="B33" s="271" t="s">
        <v>70</v>
      </c>
      <c r="C33" s="272"/>
      <c r="D33" s="273"/>
      <c r="F33" s="5" t="e">
        <f>F26/F27</f>
        <v>#DIV/0!</v>
      </c>
      <c r="G33" s="5" t="e">
        <f t="shared" ref="G33:Q33" si="1">G26/G27</f>
        <v>#DIV/0!</v>
      </c>
      <c r="H33" s="5" t="e">
        <f t="shared" si="1"/>
        <v>#DIV/0!</v>
      </c>
      <c r="I33" s="5" t="e">
        <f t="shared" si="1"/>
        <v>#DIV/0!</v>
      </c>
      <c r="J33" s="5" t="e">
        <f t="shared" si="1"/>
        <v>#DIV/0!</v>
      </c>
      <c r="K33" s="5" t="e">
        <f t="shared" si="1"/>
        <v>#DIV/0!</v>
      </c>
      <c r="L33" s="5" t="e">
        <f t="shared" si="1"/>
        <v>#DIV/0!</v>
      </c>
      <c r="M33" s="5" t="e">
        <f t="shared" si="1"/>
        <v>#DIV/0!</v>
      </c>
      <c r="N33" s="5" t="e">
        <f t="shared" si="1"/>
        <v>#DIV/0!</v>
      </c>
      <c r="O33" s="5" t="e">
        <f t="shared" si="1"/>
        <v>#DIV/0!</v>
      </c>
      <c r="P33" s="5" t="e">
        <f t="shared" si="1"/>
        <v>#DIV/0!</v>
      </c>
      <c r="Q33" s="5" t="e">
        <f t="shared" si="1"/>
        <v>#DIV/0!</v>
      </c>
      <c r="R33" s="14"/>
      <c r="S33" s="261"/>
      <c r="T33" s="262"/>
      <c r="U33" s="262"/>
      <c r="V33" s="262"/>
      <c r="W33" s="262"/>
      <c r="X33" s="262"/>
      <c r="Y33" s="262"/>
      <c r="Z33" s="262"/>
      <c r="AA33" s="263"/>
      <c r="AB33" s="10"/>
    </row>
    <row r="34" spans="1:28" ht="4.5" customHeight="1" x14ac:dyDescent="0.25">
      <c r="A34" s="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0"/>
    </row>
    <row r="35" spans="1:28" ht="345" customHeight="1" x14ac:dyDescent="0.25">
      <c r="A35" s="9"/>
      <c r="B35" s="277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9"/>
      <c r="AB35" s="10"/>
    </row>
    <row r="36" spans="1:28" ht="4.5" customHeight="1" thickBo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3"/>
    </row>
    <row r="37" spans="1:28" ht="4.5" customHeight="1" x14ac:dyDescent="0.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8"/>
    </row>
    <row r="38" spans="1:28" ht="15" customHeight="1" x14ac:dyDescent="0.25">
      <c r="A38" s="9"/>
      <c r="B38" s="280"/>
      <c r="D38" s="70" t="s">
        <v>71</v>
      </c>
      <c r="E38" s="71"/>
      <c r="F38" s="71"/>
      <c r="G38" s="71"/>
      <c r="H38" s="71"/>
      <c r="I38" s="72"/>
      <c r="J38" s="283" t="s">
        <v>72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5"/>
      <c r="AB38" s="10"/>
    </row>
    <row r="39" spans="1:28" ht="147" customHeight="1" x14ac:dyDescent="0.25">
      <c r="A39" s="9"/>
      <c r="B39" s="281"/>
      <c r="C39" s="18"/>
      <c r="D39" s="286"/>
      <c r="E39" s="287"/>
      <c r="F39" s="287"/>
      <c r="G39" s="287"/>
      <c r="H39" s="287"/>
      <c r="I39" s="288"/>
      <c r="J39" s="286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8"/>
      <c r="AB39" s="10"/>
    </row>
    <row r="40" spans="1:28" ht="15" customHeight="1" x14ac:dyDescent="0.25">
      <c r="A40" s="9"/>
      <c r="B40" s="281"/>
      <c r="C40" s="18"/>
      <c r="D40" s="289" t="s">
        <v>73</v>
      </c>
      <c r="E40" s="290"/>
      <c r="F40" s="290"/>
      <c r="G40" s="290"/>
      <c r="H40" s="290"/>
      <c r="I40" s="291"/>
      <c r="J40" s="289" t="s">
        <v>74</v>
      </c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1"/>
      <c r="AB40" s="10"/>
    </row>
    <row r="41" spans="1:28" ht="30" customHeight="1" x14ac:dyDescent="0.25">
      <c r="A41" s="9"/>
      <c r="B41" s="281"/>
      <c r="C41" s="18"/>
      <c r="D41" s="292"/>
      <c r="E41" s="293"/>
      <c r="F41" s="293"/>
      <c r="G41" s="293"/>
      <c r="H41" s="293"/>
      <c r="I41" s="294"/>
      <c r="J41" s="295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7"/>
      <c r="AB41" s="10"/>
    </row>
    <row r="42" spans="1:28" ht="15" customHeight="1" x14ac:dyDescent="0.25">
      <c r="A42" s="9"/>
      <c r="B42" s="281"/>
      <c r="C42" s="18"/>
      <c r="D42" s="304" t="s">
        <v>12</v>
      </c>
      <c r="E42" s="304"/>
      <c r="F42" s="304"/>
      <c r="G42" s="304"/>
      <c r="H42" s="304"/>
      <c r="I42" s="304"/>
      <c r="J42" s="298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300"/>
      <c r="AB42" s="10"/>
    </row>
    <row r="43" spans="1:28" ht="27.75" customHeight="1" x14ac:dyDescent="0.25">
      <c r="A43" s="9"/>
      <c r="B43" s="282"/>
      <c r="C43" s="18"/>
      <c r="D43" s="274" t="s">
        <v>75</v>
      </c>
      <c r="E43" s="275"/>
      <c r="F43" s="275"/>
      <c r="G43" s="275"/>
      <c r="H43" s="275"/>
      <c r="I43" s="276"/>
      <c r="J43" s="301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3"/>
      <c r="AB43" s="10"/>
    </row>
    <row r="44" spans="1:28" ht="5.25" customHeight="1" thickBot="1" x14ac:dyDescent="0.3">
      <c r="A44" s="11"/>
      <c r="B44" s="19"/>
      <c r="C44" s="20"/>
      <c r="D44" s="21"/>
      <c r="E44" s="21"/>
      <c r="F44" s="21"/>
      <c r="G44" s="21"/>
      <c r="H44" s="21"/>
      <c r="I44" s="21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12"/>
      <c r="Y44" s="22"/>
      <c r="Z44" s="22"/>
      <c r="AA44" s="22"/>
      <c r="AB44" s="13"/>
    </row>
    <row r="45" spans="1:28" ht="5.0999999999999996" customHeight="1" x14ac:dyDescent="0.2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8"/>
    </row>
    <row r="46" spans="1:28" ht="4.5" customHeight="1" thickBot="1" x14ac:dyDescent="0.3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3"/>
    </row>
    <row r="47" spans="1:28" ht="13.8" x14ac:dyDescent="0.25"/>
    <row r="48" spans="1:28" ht="12" hidden="1" customHeight="1" x14ac:dyDescent="0.25"/>
    <row r="49" ht="13.8" hidden="1" x14ac:dyDescent="0.25"/>
    <row r="50" ht="13.8" hidden="1" x14ac:dyDescent="0.25"/>
    <row r="51" ht="13.8" hidden="1" x14ac:dyDescent="0.25"/>
    <row r="52" ht="13.8" hidden="1" x14ac:dyDescent="0.25"/>
    <row r="53" ht="13.8" hidden="1" x14ac:dyDescent="0.25"/>
    <row r="54" ht="13.8" hidden="1" x14ac:dyDescent="0.25"/>
    <row r="55" ht="13.8" hidden="1" x14ac:dyDescent="0.25"/>
    <row r="56" ht="13.8" hidden="1" x14ac:dyDescent="0.25"/>
    <row r="57" ht="13.8" hidden="1" x14ac:dyDescent="0.25"/>
    <row r="58" ht="13.8" hidden="1" x14ac:dyDescent="0.25"/>
    <row r="59" ht="13.8" hidden="1" x14ac:dyDescent="0.25"/>
    <row r="60" ht="13.8" hidden="1" x14ac:dyDescent="0.25"/>
    <row r="61" ht="13.8" hidden="1" x14ac:dyDescent="0.25"/>
    <row r="62" ht="13.8" hidden="1" x14ac:dyDescent="0.25"/>
    <row r="63" ht="13.8" hidden="1" x14ac:dyDescent="0.25"/>
    <row r="64" ht="13.8" hidden="1" x14ac:dyDescent="0.25"/>
    <row r="65" ht="13.8" hidden="1" x14ac:dyDescent="0.25"/>
    <row r="66" ht="13.8" hidden="1" x14ac:dyDescent="0.25"/>
    <row r="67" ht="13.8" hidden="1" x14ac:dyDescent="0.25"/>
    <row r="68" ht="13.8" hidden="1" x14ac:dyDescent="0.25"/>
    <row r="69" ht="13.8" hidden="1" x14ac:dyDescent="0.25"/>
    <row r="70" ht="13.8" hidden="1" x14ac:dyDescent="0.25"/>
  </sheetData>
  <mergeCells count="34">
    <mergeCell ref="D43:I43"/>
    <mergeCell ref="B35:AA35"/>
    <mergeCell ref="B38:B43"/>
    <mergeCell ref="J38:AA38"/>
    <mergeCell ref="D39:I39"/>
    <mergeCell ref="J39:AA39"/>
    <mergeCell ref="D40:I40"/>
    <mergeCell ref="J40:AA40"/>
    <mergeCell ref="D41:I41"/>
    <mergeCell ref="J41:AA43"/>
    <mergeCell ref="D42:I42"/>
    <mergeCell ref="S24:AA33"/>
    <mergeCell ref="B26:D26"/>
    <mergeCell ref="B27:D27"/>
    <mergeCell ref="B29:D29"/>
    <mergeCell ref="B30:D30"/>
    <mergeCell ref="B31:D31"/>
    <mergeCell ref="B33:D33"/>
    <mergeCell ref="B18:D18"/>
    <mergeCell ref="F18:Q18"/>
    <mergeCell ref="B20:D20"/>
    <mergeCell ref="F20:Q20"/>
    <mergeCell ref="B24:D24"/>
    <mergeCell ref="B14:D14"/>
    <mergeCell ref="F14:Q14"/>
    <mergeCell ref="Y14:AA14"/>
    <mergeCell ref="B16:D16"/>
    <mergeCell ref="F16:Q16"/>
    <mergeCell ref="F1:U8"/>
    <mergeCell ref="W2:W3"/>
    <mergeCell ref="W4:W6"/>
    <mergeCell ref="Y7:AA7"/>
    <mergeCell ref="B12:D12"/>
    <mergeCell ref="F12:AA12"/>
  </mergeCells>
  <conditionalFormatting sqref="F33:Q33">
    <cfRule type="cellIs" dxfId="14" priority="1" stopIfTrue="1" operator="lessThan">
      <formula>$AA$20</formula>
    </cfRule>
    <cfRule type="cellIs" dxfId="13" priority="2" stopIfTrue="1" operator="between">
      <formula>$Y$18</formula>
      <formula>$AA$18</formula>
    </cfRule>
    <cfRule type="cellIs" dxfId="12" priority="3" stopIfTrue="1" operator="greaterThan">
      <formula>$AA$16</formula>
    </cfRule>
  </conditionalFormatting>
  <conditionalFormatting sqref="W1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41" right="0.19685039370078741" top="0.19685039370078741" bottom="0.15748031496062992" header="0.15748031496062992" footer="0.11811023622047245"/>
  <pageSetup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0"/>
  <sheetViews>
    <sheetView showGridLines="0" topLeftCell="A31" zoomScale="85" zoomScaleNormal="85" zoomScalePageLayoutView="82" workbookViewId="0">
      <selection activeCell="S24" sqref="S24:AA33"/>
    </sheetView>
  </sheetViews>
  <sheetFormatPr baseColWidth="10" defaultColWidth="0" defaultRowHeight="14.25" customHeight="1" zeroHeight="1" x14ac:dyDescent="0.25"/>
  <cols>
    <col min="1" max="1" width="5.6640625" style="1" customWidth="1"/>
    <col min="2" max="2" width="17.33203125" style="1" customWidth="1"/>
    <col min="3" max="3" width="1.109375" style="1" customWidth="1"/>
    <col min="4" max="4" width="13.6640625" style="1" customWidth="1"/>
    <col min="5" max="5" width="0.88671875" style="1" customWidth="1"/>
    <col min="6" max="17" width="8.6640625" style="1" customWidth="1"/>
    <col min="18" max="18" width="0.88671875" style="1" customWidth="1"/>
    <col min="19" max="19" width="18.5546875" style="1" customWidth="1"/>
    <col min="20" max="20" width="0.88671875" style="1" customWidth="1"/>
    <col min="21" max="21" width="13.6640625" style="1" customWidth="1"/>
    <col min="22" max="22" width="0.88671875" style="1" customWidth="1"/>
    <col min="23" max="23" width="20.5546875" style="1" customWidth="1"/>
    <col min="24" max="24" width="0.88671875" style="1" customWidth="1"/>
    <col min="25" max="25" width="7.5546875" style="1" customWidth="1"/>
    <col min="26" max="26" width="0.88671875" style="1" customWidth="1"/>
    <col min="27" max="27" width="7.6640625" style="1" customWidth="1"/>
    <col min="28" max="28" width="0.88671875" style="1" customWidth="1"/>
    <col min="29" max="29" width="4" style="1" customWidth="1"/>
    <col min="30" max="16384" width="0" style="1" hidden="1"/>
  </cols>
  <sheetData>
    <row r="1" spans="1:28" ht="21" customHeight="1" x14ac:dyDescent="0.4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28" ht="14.25" customHeight="1" x14ac:dyDescent="0.4">
      <c r="A2" s="160"/>
      <c r="B2" s="319"/>
      <c r="D2" s="305" t="s">
        <v>76</v>
      </c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7"/>
      <c r="U2" s="179" t="s">
        <v>34</v>
      </c>
      <c r="V2" s="180"/>
      <c r="W2" s="180"/>
      <c r="X2" s="181"/>
      <c r="Y2" s="182"/>
      <c r="Z2" s="160"/>
      <c r="AA2" s="160"/>
      <c r="AB2" s="160"/>
    </row>
    <row r="3" spans="1:28" ht="14.25" customHeight="1" x14ac:dyDescent="0.4">
      <c r="A3" s="160"/>
      <c r="B3" s="319"/>
      <c r="D3" s="308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10"/>
      <c r="U3" s="314" t="s">
        <v>35</v>
      </c>
      <c r="V3" s="184"/>
      <c r="W3" s="184"/>
      <c r="X3" s="185"/>
      <c r="Y3" s="186"/>
      <c r="Z3" s="160"/>
      <c r="AA3" s="160"/>
      <c r="AB3" s="160"/>
    </row>
    <row r="4" spans="1:28" ht="14.25" customHeight="1" x14ac:dyDescent="0.4">
      <c r="A4" s="160"/>
      <c r="B4" s="319"/>
      <c r="D4" s="308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10"/>
      <c r="U4" s="315"/>
      <c r="V4" s="175"/>
      <c r="W4" s="175"/>
      <c r="X4" s="176"/>
      <c r="Y4" s="177"/>
      <c r="Z4" s="160"/>
      <c r="AA4" s="160"/>
      <c r="AB4" s="160"/>
    </row>
    <row r="5" spans="1:28" ht="14.25" customHeight="1" x14ac:dyDescent="0.4">
      <c r="A5" s="160"/>
      <c r="B5" s="319"/>
      <c r="D5" s="308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10"/>
      <c r="U5" s="316" t="s">
        <v>36</v>
      </c>
      <c r="V5" s="185"/>
      <c r="W5" s="184"/>
      <c r="X5" s="185"/>
      <c r="Y5" s="186"/>
      <c r="Z5" s="160"/>
      <c r="AA5" s="160"/>
      <c r="AB5" s="160"/>
    </row>
    <row r="6" spans="1:28" ht="14.25" customHeight="1" x14ac:dyDescent="0.4">
      <c r="A6" s="160"/>
      <c r="B6" s="319"/>
      <c r="D6" s="308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10"/>
      <c r="U6" s="317"/>
      <c r="V6" s="171"/>
      <c r="W6" s="174"/>
      <c r="X6" s="171"/>
      <c r="Y6" s="173"/>
      <c r="Z6" s="160"/>
      <c r="AA6" s="160"/>
      <c r="AB6" s="160"/>
    </row>
    <row r="7" spans="1:28" ht="21" customHeight="1" x14ac:dyDescent="0.4">
      <c r="A7" s="160"/>
      <c r="B7" s="319"/>
      <c r="C7" s="160"/>
      <c r="D7" s="308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10"/>
      <c r="T7" s="160"/>
      <c r="U7" s="318"/>
      <c r="V7" s="176"/>
      <c r="W7" s="175"/>
      <c r="X7" s="176"/>
      <c r="Y7" s="177"/>
      <c r="Z7" s="160"/>
      <c r="AA7" s="160"/>
      <c r="AB7" s="160"/>
    </row>
    <row r="8" spans="1:28" ht="15.6" x14ac:dyDescent="0.3">
      <c r="B8" s="319"/>
      <c r="D8" s="311"/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3"/>
      <c r="U8" s="190" t="s">
        <v>37</v>
      </c>
      <c r="V8" s="172"/>
      <c r="W8" s="191" t="s">
        <v>38</v>
      </c>
      <c r="X8" s="181"/>
      <c r="Y8" s="182"/>
    </row>
    <row r="9" spans="1:28" ht="13.8" x14ac:dyDescent="0.25"/>
    <row r="10" spans="1:28" ht="9" customHeight="1" thickBot="1" x14ac:dyDescent="0.3"/>
    <row r="11" spans="1:28" ht="5.25" customHeight="1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8"/>
    </row>
    <row r="12" spans="1:28" ht="28.5" customHeight="1" x14ac:dyDescent="0.3">
      <c r="A12" s="9"/>
      <c r="B12" s="320" t="s">
        <v>6</v>
      </c>
      <c r="C12" s="321"/>
      <c r="D12" s="322"/>
      <c r="E12" s="3"/>
      <c r="F12" s="323" t="str">
        <f>'Tablero de Indicadores'!C14</f>
        <v>COBERTURA PLAN CAPACITACION PERSONAL MANIPULADOR DE ALIMENTOS</v>
      </c>
      <c r="G12" s="324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  <c r="AA12" s="325"/>
      <c r="AB12" s="78"/>
    </row>
    <row r="13" spans="1:28" ht="5.0999999999999996" customHeight="1" x14ac:dyDescent="0.25">
      <c r="A13" s="9"/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78"/>
    </row>
    <row r="14" spans="1:28" ht="30" customHeight="1" x14ac:dyDescent="0.25">
      <c r="A14" s="9"/>
      <c r="B14" s="326" t="s">
        <v>39</v>
      </c>
      <c r="C14" s="327"/>
      <c r="D14" s="328"/>
      <c r="E14" s="3"/>
      <c r="F14" s="329" t="str">
        <f>'Tablero de Indicadores'!C9</f>
        <v>ASEGURAMIENTO DE CALIDAD</v>
      </c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1"/>
      <c r="R14" s="35"/>
      <c r="S14" s="28" t="s">
        <v>9</v>
      </c>
      <c r="T14" s="35"/>
      <c r="U14" s="32">
        <f>'Tablero de Indicadores'!F14</f>
        <v>1</v>
      </c>
      <c r="V14" s="35"/>
      <c r="W14" s="31" t="s">
        <v>40</v>
      </c>
      <c r="X14" s="3"/>
      <c r="Y14" s="332" t="s">
        <v>41</v>
      </c>
      <c r="Z14" s="333"/>
      <c r="AA14" s="334"/>
      <c r="AB14" s="78"/>
    </row>
    <row r="15" spans="1:28" ht="5.0999999999999996" customHeight="1" x14ac:dyDescent="0.25">
      <c r="A15" s="9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78"/>
    </row>
    <row r="16" spans="1:28" ht="34.5" customHeight="1" x14ac:dyDescent="0.25">
      <c r="A16" s="9"/>
      <c r="B16" s="326" t="s">
        <v>42</v>
      </c>
      <c r="C16" s="327"/>
      <c r="D16" s="335"/>
      <c r="E16" s="3"/>
      <c r="F16" s="336" t="str">
        <f>'Tablero de Indicadores'!D14</f>
        <v>(Total personal asistente / Total personal programado) x 100</v>
      </c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38"/>
      <c r="R16" s="3"/>
      <c r="S16" s="29" t="s">
        <v>43</v>
      </c>
      <c r="T16" s="3"/>
      <c r="U16" s="30" t="s">
        <v>127</v>
      </c>
      <c r="V16" s="3"/>
      <c r="W16" s="33" t="s">
        <v>44</v>
      </c>
      <c r="X16" s="3"/>
      <c r="Y16" s="25" t="s">
        <v>45</v>
      </c>
      <c r="Z16" s="36"/>
      <c r="AA16" s="25">
        <f>'Tablero de Indicadores'!G14</f>
        <v>1</v>
      </c>
      <c r="AB16" s="78"/>
    </row>
    <row r="17" spans="1:28" ht="5.0999999999999996" customHeight="1" x14ac:dyDescent="0.25">
      <c r="A17" s="9"/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79"/>
      <c r="T17" s="3"/>
      <c r="U17" s="3"/>
      <c r="V17" s="3"/>
      <c r="W17" s="35"/>
      <c r="X17" s="3"/>
      <c r="Y17" s="74"/>
      <c r="Z17" s="74"/>
      <c r="AA17" s="74"/>
      <c r="AB17" s="78"/>
    </row>
    <row r="18" spans="1:28" ht="30" customHeight="1" x14ac:dyDescent="0.25">
      <c r="A18" s="9"/>
      <c r="B18" s="320" t="s">
        <v>46</v>
      </c>
      <c r="C18" s="321"/>
      <c r="D18" s="339"/>
      <c r="E18" s="3"/>
      <c r="F18" s="336" t="str">
        <f>'Tablero de Indicadores'!E14</f>
        <v>PORCENTAJE</v>
      </c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8"/>
      <c r="R18" s="3"/>
      <c r="S18" s="29" t="s">
        <v>5</v>
      </c>
      <c r="T18" s="3"/>
      <c r="U18" s="30" t="str">
        <f>'Tablero de Indicadores'!B14</f>
        <v>Eficacia</v>
      </c>
      <c r="V18" s="3"/>
      <c r="W18" s="34" t="s">
        <v>47</v>
      </c>
      <c r="X18" s="3"/>
      <c r="Y18" s="25">
        <f>'Tablero de Indicadores'!H14</f>
        <v>0.9</v>
      </c>
      <c r="Z18" s="36"/>
      <c r="AA18" s="25">
        <f>'Tablero de Indicadores'!I14</f>
        <v>0.8</v>
      </c>
      <c r="AB18" s="78"/>
    </row>
    <row r="19" spans="1:28" ht="4.5" customHeight="1" x14ac:dyDescent="0.25">
      <c r="A19" s="9"/>
      <c r="B19" s="2"/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74"/>
      <c r="Z19" s="74"/>
      <c r="AA19" s="74"/>
      <c r="AB19" s="78"/>
    </row>
    <row r="20" spans="1:28" ht="30" customHeight="1" x14ac:dyDescent="0.25">
      <c r="A20" s="9"/>
      <c r="B20" s="320" t="s">
        <v>48</v>
      </c>
      <c r="C20" s="321"/>
      <c r="D20" s="340"/>
      <c r="E20" s="3"/>
      <c r="F20" s="336" t="str">
        <f>'Tablero de Indicadores'!L14</f>
        <v>Coordinadora Aseguramiento de Calidad y SIG</v>
      </c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Q20" s="338"/>
      <c r="R20" s="3"/>
      <c r="S20" s="28" t="s">
        <v>49</v>
      </c>
      <c r="T20" s="3"/>
      <c r="U20" s="27">
        <v>2026</v>
      </c>
      <c r="V20" s="3"/>
      <c r="W20" s="26" t="s">
        <v>50</v>
      </c>
      <c r="X20" s="3"/>
      <c r="Y20" s="25" t="s">
        <v>51</v>
      </c>
      <c r="Z20" s="36"/>
      <c r="AA20" s="25">
        <f>'Tablero de Indicadores'!J14</f>
        <v>0.7</v>
      </c>
      <c r="AB20" s="78"/>
    </row>
    <row r="21" spans="1:28" ht="5.0999999999999996" customHeight="1" thickBot="1" x14ac:dyDescent="0.3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3.75" customHeight="1" thickBot="1" x14ac:dyDescent="0.3">
      <c r="A22" s="9"/>
      <c r="AB22" s="10"/>
    </row>
    <row r="23" spans="1:28" ht="5.0999999999999996" customHeight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8"/>
    </row>
    <row r="24" spans="1:28" ht="33" customHeight="1" x14ac:dyDescent="0.25">
      <c r="A24" s="9"/>
      <c r="B24" s="252" t="s">
        <v>52</v>
      </c>
      <c r="C24" s="253"/>
      <c r="D24" s="254"/>
      <c r="F24" s="67" t="s">
        <v>53</v>
      </c>
      <c r="G24" s="67" t="s">
        <v>54</v>
      </c>
      <c r="H24" s="66" t="s">
        <v>55</v>
      </c>
      <c r="I24" s="67" t="s">
        <v>56</v>
      </c>
      <c r="J24" s="67" t="s">
        <v>57</v>
      </c>
      <c r="K24" s="66" t="s">
        <v>58</v>
      </c>
      <c r="L24" s="67" t="s">
        <v>59</v>
      </c>
      <c r="M24" s="67" t="s">
        <v>60</v>
      </c>
      <c r="N24" s="66" t="s">
        <v>61</v>
      </c>
      <c r="O24" s="67" t="s">
        <v>62</v>
      </c>
      <c r="P24" s="67" t="s">
        <v>63</v>
      </c>
      <c r="Q24" s="66" t="s">
        <v>64</v>
      </c>
      <c r="R24" s="14"/>
      <c r="S24" s="341" t="s">
        <v>77</v>
      </c>
      <c r="T24" s="342"/>
      <c r="U24" s="342"/>
      <c r="V24" s="342"/>
      <c r="W24" s="342"/>
      <c r="X24" s="342"/>
      <c r="Y24" s="342"/>
      <c r="Z24" s="342"/>
      <c r="AA24" s="343"/>
      <c r="AB24" s="10"/>
    </row>
    <row r="25" spans="1:28" ht="5.0999999999999996" customHeight="1" x14ac:dyDescent="0.25">
      <c r="A25" s="9"/>
      <c r="B25" s="15"/>
      <c r="C25" s="15"/>
      <c r="D25" s="15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14"/>
      <c r="S25" s="344"/>
      <c r="T25" s="345"/>
      <c r="U25" s="345"/>
      <c r="V25" s="345"/>
      <c r="W25" s="345"/>
      <c r="X25" s="345"/>
      <c r="Y25" s="345"/>
      <c r="Z25" s="345"/>
      <c r="AA25" s="346"/>
      <c r="AB25" s="10"/>
    </row>
    <row r="26" spans="1:28" ht="13.8" x14ac:dyDescent="0.25">
      <c r="A26" s="9"/>
      <c r="B26" s="264" t="s">
        <v>78</v>
      </c>
      <c r="C26" s="265"/>
      <c r="D26" s="266"/>
      <c r="F26" s="82"/>
      <c r="G26" s="82"/>
      <c r="H26" s="82"/>
      <c r="I26" s="83"/>
      <c r="J26" s="83"/>
      <c r="K26" s="83"/>
      <c r="L26" s="83"/>
      <c r="M26" s="83"/>
      <c r="N26" s="83"/>
      <c r="O26" s="83"/>
      <c r="P26" s="83"/>
      <c r="Q26" s="83"/>
      <c r="R26" s="14"/>
      <c r="S26" s="344"/>
      <c r="T26" s="345"/>
      <c r="U26" s="345"/>
      <c r="V26" s="345"/>
      <c r="W26" s="345"/>
      <c r="X26" s="345"/>
      <c r="Y26" s="345"/>
      <c r="Z26" s="345"/>
      <c r="AA26" s="346"/>
      <c r="AB26" s="10"/>
    </row>
    <row r="27" spans="1:28" ht="13.8" x14ac:dyDescent="0.25">
      <c r="A27" s="9"/>
      <c r="B27" s="267" t="s">
        <v>79</v>
      </c>
      <c r="C27" s="268"/>
      <c r="D27" s="269"/>
      <c r="E27" s="1">
        <v>0</v>
      </c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14"/>
      <c r="S27" s="344"/>
      <c r="T27" s="345"/>
      <c r="U27" s="345"/>
      <c r="V27" s="345"/>
      <c r="W27" s="345"/>
      <c r="X27" s="345"/>
      <c r="Y27" s="345"/>
      <c r="Z27" s="345"/>
      <c r="AA27" s="346"/>
      <c r="AB27" s="10"/>
    </row>
    <row r="28" spans="1:28" ht="5.0999999999999996" customHeight="1" x14ac:dyDescent="0.25">
      <c r="A28" s="9"/>
      <c r="F28" s="17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4"/>
      <c r="S28" s="344"/>
      <c r="T28" s="345"/>
      <c r="U28" s="345"/>
      <c r="V28" s="345"/>
      <c r="W28" s="345"/>
      <c r="X28" s="345"/>
      <c r="Y28" s="345"/>
      <c r="Z28" s="345"/>
      <c r="AA28" s="346"/>
      <c r="AB28" s="10"/>
    </row>
    <row r="29" spans="1:28" ht="15" customHeight="1" x14ac:dyDescent="0.25">
      <c r="A29" s="9"/>
      <c r="B29" s="264" t="s">
        <v>68</v>
      </c>
      <c r="C29" s="265"/>
      <c r="D29" s="266"/>
      <c r="F29" s="5">
        <f t="shared" ref="F29:O31" si="0">G29</f>
        <v>1</v>
      </c>
      <c r="G29" s="5">
        <f t="shared" si="0"/>
        <v>1</v>
      </c>
      <c r="H29" s="5">
        <f t="shared" si="0"/>
        <v>1</v>
      </c>
      <c r="I29" s="5">
        <f t="shared" si="0"/>
        <v>1</v>
      </c>
      <c r="J29" s="5">
        <f t="shared" si="0"/>
        <v>1</v>
      </c>
      <c r="K29" s="5">
        <f t="shared" si="0"/>
        <v>1</v>
      </c>
      <c r="L29" s="5">
        <f t="shared" si="0"/>
        <v>1</v>
      </c>
      <c r="M29" s="5">
        <f t="shared" si="0"/>
        <v>1</v>
      </c>
      <c r="N29" s="5">
        <f t="shared" si="0"/>
        <v>1</v>
      </c>
      <c r="O29" s="5">
        <f t="shared" si="0"/>
        <v>1</v>
      </c>
      <c r="P29" s="5">
        <f>Q29</f>
        <v>1</v>
      </c>
      <c r="Q29" s="5">
        <f>AA16</f>
        <v>1</v>
      </c>
      <c r="R29" s="14"/>
      <c r="S29" s="344"/>
      <c r="T29" s="345"/>
      <c r="U29" s="345"/>
      <c r="V29" s="345"/>
      <c r="W29" s="345"/>
      <c r="X29" s="345"/>
      <c r="Y29" s="345"/>
      <c r="Z29" s="345"/>
      <c r="AA29" s="346"/>
      <c r="AB29" s="10"/>
    </row>
    <row r="30" spans="1:28" ht="5.0999999999999996" customHeight="1" x14ac:dyDescent="0.25">
      <c r="A30" s="9"/>
      <c r="B30" s="270"/>
      <c r="C30" s="270"/>
      <c r="D30" s="270"/>
      <c r="F30" s="68">
        <f t="shared" si="0"/>
        <v>0</v>
      </c>
      <c r="G30" s="68">
        <f t="shared" si="0"/>
        <v>0</v>
      </c>
      <c r="H30" s="68">
        <f t="shared" si="0"/>
        <v>0</v>
      </c>
      <c r="I30" s="68">
        <f t="shared" si="0"/>
        <v>0</v>
      </c>
      <c r="J30" s="4">
        <f t="shared" si="0"/>
        <v>0</v>
      </c>
      <c r="K30" s="68">
        <f t="shared" si="0"/>
        <v>0</v>
      </c>
      <c r="L30" s="68">
        <f t="shared" si="0"/>
        <v>0</v>
      </c>
      <c r="M30" s="68">
        <f t="shared" si="0"/>
        <v>0</v>
      </c>
      <c r="N30" s="68">
        <f t="shared" si="0"/>
        <v>0</v>
      </c>
      <c r="O30" s="68">
        <f t="shared" si="0"/>
        <v>0</v>
      </c>
      <c r="P30" s="69"/>
      <c r="Q30" s="69"/>
      <c r="R30" s="14"/>
      <c r="S30" s="344"/>
      <c r="T30" s="345"/>
      <c r="U30" s="345"/>
      <c r="V30" s="345"/>
      <c r="W30" s="345"/>
      <c r="X30" s="345"/>
      <c r="Y30" s="345"/>
      <c r="Z30" s="345"/>
      <c r="AA30" s="346"/>
      <c r="AB30" s="10"/>
    </row>
    <row r="31" spans="1:28" ht="15" customHeight="1" x14ac:dyDescent="0.25">
      <c r="A31" s="9"/>
      <c r="B31" s="264" t="s">
        <v>69</v>
      </c>
      <c r="C31" s="265"/>
      <c r="D31" s="266"/>
      <c r="F31" s="5">
        <f t="shared" si="0"/>
        <v>0.7</v>
      </c>
      <c r="G31" s="5">
        <f t="shared" si="0"/>
        <v>0.7</v>
      </c>
      <c r="H31" s="5">
        <f t="shared" si="0"/>
        <v>0.7</v>
      </c>
      <c r="I31" s="5">
        <f t="shared" si="0"/>
        <v>0.7</v>
      </c>
      <c r="J31" s="5">
        <f t="shared" si="0"/>
        <v>0.7</v>
      </c>
      <c r="K31" s="5">
        <f t="shared" si="0"/>
        <v>0.7</v>
      </c>
      <c r="L31" s="5">
        <f t="shared" si="0"/>
        <v>0.7</v>
      </c>
      <c r="M31" s="5">
        <f t="shared" si="0"/>
        <v>0.7</v>
      </c>
      <c r="N31" s="5">
        <f t="shared" si="0"/>
        <v>0.7</v>
      </c>
      <c r="O31" s="5">
        <f t="shared" si="0"/>
        <v>0.7</v>
      </c>
      <c r="P31" s="5">
        <f>Q31</f>
        <v>0.7</v>
      </c>
      <c r="Q31" s="5">
        <f>AA20</f>
        <v>0.7</v>
      </c>
      <c r="R31" s="14"/>
      <c r="S31" s="344"/>
      <c r="T31" s="345"/>
      <c r="U31" s="345"/>
      <c r="V31" s="345"/>
      <c r="W31" s="345"/>
      <c r="X31" s="345"/>
      <c r="Y31" s="345"/>
      <c r="Z31" s="345"/>
      <c r="AA31" s="346"/>
      <c r="AB31" s="10"/>
    </row>
    <row r="32" spans="1:28" ht="5.0999999999999996" customHeight="1" x14ac:dyDescent="0.25">
      <c r="A32" s="9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14"/>
      <c r="S32" s="344"/>
      <c r="T32" s="345"/>
      <c r="U32" s="345"/>
      <c r="V32" s="345"/>
      <c r="W32" s="345"/>
      <c r="X32" s="345"/>
      <c r="Y32" s="345"/>
      <c r="Z32" s="345"/>
      <c r="AA32" s="346"/>
      <c r="AB32" s="10"/>
    </row>
    <row r="33" spans="1:28" ht="13.8" x14ac:dyDescent="0.25">
      <c r="A33" s="9"/>
      <c r="B33" s="271" t="s">
        <v>70</v>
      </c>
      <c r="C33" s="272"/>
      <c r="D33" s="273"/>
      <c r="F33" s="5" t="e">
        <f t="shared" ref="F33:Q33" si="1">F26/F27</f>
        <v>#DIV/0!</v>
      </c>
      <c r="G33" s="5" t="e">
        <f t="shared" si="1"/>
        <v>#DIV/0!</v>
      </c>
      <c r="H33" s="5" t="e">
        <f t="shared" si="1"/>
        <v>#DIV/0!</v>
      </c>
      <c r="I33" s="5" t="e">
        <f t="shared" si="1"/>
        <v>#DIV/0!</v>
      </c>
      <c r="J33" s="5" t="e">
        <f t="shared" si="1"/>
        <v>#DIV/0!</v>
      </c>
      <c r="K33" s="5" t="e">
        <f t="shared" si="1"/>
        <v>#DIV/0!</v>
      </c>
      <c r="L33" s="5" t="e">
        <f t="shared" si="1"/>
        <v>#DIV/0!</v>
      </c>
      <c r="M33" s="5" t="e">
        <f t="shared" si="1"/>
        <v>#DIV/0!</v>
      </c>
      <c r="N33" s="5" t="e">
        <f t="shared" si="1"/>
        <v>#DIV/0!</v>
      </c>
      <c r="O33" s="5" t="e">
        <f t="shared" si="1"/>
        <v>#DIV/0!</v>
      </c>
      <c r="P33" s="5" t="e">
        <f t="shared" si="1"/>
        <v>#DIV/0!</v>
      </c>
      <c r="Q33" s="5" t="e">
        <f t="shared" si="1"/>
        <v>#DIV/0!</v>
      </c>
      <c r="R33" s="14"/>
      <c r="S33" s="347"/>
      <c r="T33" s="348"/>
      <c r="U33" s="348"/>
      <c r="V33" s="348"/>
      <c r="W33" s="348"/>
      <c r="X33" s="348"/>
      <c r="Y33" s="348"/>
      <c r="Z33" s="348"/>
      <c r="AA33" s="349"/>
      <c r="AB33" s="10"/>
    </row>
    <row r="34" spans="1:28" ht="4.5" customHeight="1" x14ac:dyDescent="0.25">
      <c r="A34" s="9"/>
      <c r="F34" s="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0"/>
    </row>
    <row r="35" spans="1:28" ht="345" customHeight="1" x14ac:dyDescent="0.25">
      <c r="A35" s="9"/>
      <c r="B35" s="277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9"/>
      <c r="AB35" s="10"/>
    </row>
    <row r="36" spans="1:28" ht="4.5" customHeight="1" thickBo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3"/>
    </row>
    <row r="37" spans="1:28" ht="4.5" customHeight="1" x14ac:dyDescent="0.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8"/>
    </row>
    <row r="38" spans="1:28" ht="15" customHeight="1" x14ac:dyDescent="0.25">
      <c r="A38" s="9"/>
      <c r="B38" s="280"/>
      <c r="D38" s="70" t="s">
        <v>71</v>
      </c>
      <c r="E38" s="71"/>
      <c r="F38" s="71"/>
      <c r="G38" s="71"/>
      <c r="H38" s="71"/>
      <c r="I38" s="72"/>
      <c r="J38" s="283" t="s">
        <v>72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5"/>
      <c r="AB38" s="10"/>
    </row>
    <row r="39" spans="1:28" ht="118.5" customHeight="1" x14ac:dyDescent="0.25">
      <c r="A39" s="9"/>
      <c r="B39" s="281"/>
      <c r="C39" s="18"/>
      <c r="D39" s="286"/>
      <c r="E39" s="287"/>
      <c r="F39" s="287"/>
      <c r="G39" s="287"/>
      <c r="H39" s="287"/>
      <c r="I39" s="288"/>
      <c r="J39" s="286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8"/>
      <c r="AB39" s="10"/>
    </row>
    <row r="40" spans="1:28" ht="15" customHeight="1" x14ac:dyDescent="0.25">
      <c r="A40" s="9"/>
      <c r="B40" s="281"/>
      <c r="C40" s="18"/>
      <c r="D40" s="289" t="s">
        <v>73</v>
      </c>
      <c r="E40" s="290"/>
      <c r="F40" s="290"/>
      <c r="G40" s="290"/>
      <c r="H40" s="290"/>
      <c r="I40" s="291"/>
      <c r="J40" s="289" t="s">
        <v>74</v>
      </c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1"/>
      <c r="AB40" s="10"/>
    </row>
    <row r="41" spans="1:28" ht="30" customHeight="1" x14ac:dyDescent="0.25">
      <c r="A41" s="9"/>
      <c r="B41" s="281"/>
      <c r="C41" s="18"/>
      <c r="D41" s="350"/>
      <c r="E41" s="275"/>
      <c r="F41" s="275"/>
      <c r="G41" s="275"/>
      <c r="H41" s="275"/>
      <c r="I41" s="276"/>
      <c r="J41" s="295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7"/>
      <c r="AB41" s="10"/>
    </row>
    <row r="42" spans="1:28" ht="15" customHeight="1" x14ac:dyDescent="0.25">
      <c r="A42" s="9"/>
      <c r="B42" s="281"/>
      <c r="C42" s="18"/>
      <c r="D42" s="304" t="s">
        <v>12</v>
      </c>
      <c r="E42" s="304"/>
      <c r="F42" s="304"/>
      <c r="G42" s="304"/>
      <c r="H42" s="304"/>
      <c r="I42" s="304"/>
      <c r="J42" s="298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300"/>
      <c r="AB42" s="10"/>
    </row>
    <row r="43" spans="1:28" ht="27.75" customHeight="1" x14ac:dyDescent="0.25">
      <c r="A43" s="9"/>
      <c r="B43" s="282"/>
      <c r="C43" s="18"/>
      <c r="D43" s="274" t="s">
        <v>75</v>
      </c>
      <c r="E43" s="275"/>
      <c r="F43" s="275"/>
      <c r="G43" s="275"/>
      <c r="H43" s="275"/>
      <c r="I43" s="276"/>
      <c r="J43" s="301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3"/>
      <c r="AB43" s="10"/>
    </row>
    <row r="44" spans="1:28" ht="5.25" customHeight="1" thickBot="1" x14ac:dyDescent="0.3">
      <c r="A44" s="11"/>
      <c r="B44" s="19"/>
      <c r="C44" s="20"/>
      <c r="D44" s="21"/>
      <c r="E44" s="21"/>
      <c r="F44" s="21"/>
      <c r="G44" s="21"/>
      <c r="H44" s="21"/>
      <c r="I44" s="21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12"/>
      <c r="Y44" s="22"/>
      <c r="Z44" s="22"/>
      <c r="AA44" s="22"/>
      <c r="AB44" s="13"/>
    </row>
    <row r="45" spans="1:28" ht="5.0999999999999996" customHeight="1" x14ac:dyDescent="0.2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8"/>
    </row>
    <row r="46" spans="1:28" ht="4.5" customHeight="1" thickBot="1" x14ac:dyDescent="0.3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3"/>
    </row>
    <row r="47" spans="1:28" ht="13.8" x14ac:dyDescent="0.25"/>
    <row r="48" spans="1:28" ht="12" hidden="1" customHeight="1" x14ac:dyDescent="0.25"/>
    <row r="49" ht="13.8" hidden="1" x14ac:dyDescent="0.25"/>
    <row r="50" ht="13.8" hidden="1" x14ac:dyDescent="0.25"/>
    <row r="51" ht="13.8" hidden="1" x14ac:dyDescent="0.25"/>
    <row r="52" ht="13.8" hidden="1" x14ac:dyDescent="0.25"/>
    <row r="53" ht="13.8" hidden="1" x14ac:dyDescent="0.25"/>
    <row r="54" ht="13.8" hidden="1" x14ac:dyDescent="0.25"/>
    <row r="55" ht="13.8" hidden="1" x14ac:dyDescent="0.25"/>
    <row r="56" ht="13.8" hidden="1" x14ac:dyDescent="0.25"/>
    <row r="57" ht="13.8" hidden="1" x14ac:dyDescent="0.25"/>
    <row r="58" ht="13.8" hidden="1" x14ac:dyDescent="0.25"/>
    <row r="59" ht="13.8" hidden="1" x14ac:dyDescent="0.25"/>
    <row r="60" ht="13.8" hidden="1" x14ac:dyDescent="0.25"/>
    <row r="61" ht="13.8" hidden="1" x14ac:dyDescent="0.25"/>
    <row r="62" ht="13.8" hidden="1" x14ac:dyDescent="0.25"/>
    <row r="63" ht="13.8" hidden="1" x14ac:dyDescent="0.25"/>
    <row r="64" ht="13.8" hidden="1" x14ac:dyDescent="0.25"/>
    <row r="65" ht="13.8" hidden="1" x14ac:dyDescent="0.25"/>
    <row r="66" ht="13.8" hidden="1" x14ac:dyDescent="0.25"/>
    <row r="67" ht="13.8" hidden="1" x14ac:dyDescent="0.25"/>
    <row r="68" ht="13.8" hidden="1" x14ac:dyDescent="0.25"/>
    <row r="69" ht="13.8" hidden="1" x14ac:dyDescent="0.25"/>
    <row r="70" ht="13.8" hidden="1" x14ac:dyDescent="0.25"/>
  </sheetData>
  <mergeCells count="34">
    <mergeCell ref="D43:I43"/>
    <mergeCell ref="B35:AA35"/>
    <mergeCell ref="B38:B43"/>
    <mergeCell ref="J38:AA38"/>
    <mergeCell ref="D39:I39"/>
    <mergeCell ref="J39:AA39"/>
    <mergeCell ref="D40:I40"/>
    <mergeCell ref="J40:AA40"/>
    <mergeCell ref="D41:I41"/>
    <mergeCell ref="J41:AA43"/>
    <mergeCell ref="D42:I42"/>
    <mergeCell ref="S24:AA33"/>
    <mergeCell ref="B26:D26"/>
    <mergeCell ref="B27:D27"/>
    <mergeCell ref="B29:D29"/>
    <mergeCell ref="B30:D30"/>
    <mergeCell ref="B31:D31"/>
    <mergeCell ref="B33:D33"/>
    <mergeCell ref="B18:D18"/>
    <mergeCell ref="F18:Q18"/>
    <mergeCell ref="B20:D20"/>
    <mergeCell ref="F20:Q20"/>
    <mergeCell ref="B24:D24"/>
    <mergeCell ref="B14:D14"/>
    <mergeCell ref="F14:Q14"/>
    <mergeCell ref="Y14:AA14"/>
    <mergeCell ref="B16:D16"/>
    <mergeCell ref="F16:Q16"/>
    <mergeCell ref="D2:S8"/>
    <mergeCell ref="U3:U4"/>
    <mergeCell ref="U5:U7"/>
    <mergeCell ref="B2:B8"/>
    <mergeCell ref="B12:D12"/>
    <mergeCell ref="F12:AA12"/>
  </mergeCells>
  <conditionalFormatting sqref="F33:Q33">
    <cfRule type="cellIs" dxfId="11" priority="1" stopIfTrue="1" operator="lessThan">
      <formula>$AA$20</formula>
    </cfRule>
    <cfRule type="cellIs" dxfId="10" priority="2" stopIfTrue="1" operator="between">
      <formula>$Y$18</formula>
      <formula>$AA$18</formula>
    </cfRule>
    <cfRule type="cellIs" dxfId="9" priority="3" stopIfTrue="1" operator="greaterThan">
      <formula>$AA$16</formula>
    </cfRule>
  </conditionalFormatting>
  <conditionalFormatting sqref="W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41" right="0.19685039370078741" top="0.19685039370078741" bottom="0.15748031496062992" header="0.15748031496062992" footer="0.11811023622047245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0"/>
  <sheetViews>
    <sheetView showGridLines="0" zoomScale="80" zoomScaleNormal="80" zoomScalePageLayoutView="82" workbookViewId="0">
      <selection activeCell="F17" sqref="F17"/>
    </sheetView>
  </sheetViews>
  <sheetFormatPr baseColWidth="10" defaultColWidth="0" defaultRowHeight="14.25" customHeight="1" zeroHeight="1" x14ac:dyDescent="0.25"/>
  <cols>
    <col min="1" max="1" width="0.88671875" style="1" customWidth="1"/>
    <col min="2" max="2" width="16.6640625" style="1" customWidth="1"/>
    <col min="3" max="3" width="0.88671875" style="1" customWidth="1"/>
    <col min="4" max="4" width="13.6640625" style="1" customWidth="1"/>
    <col min="5" max="5" width="0.88671875" style="1" customWidth="1"/>
    <col min="6" max="17" width="8.6640625" style="1" customWidth="1"/>
    <col min="18" max="18" width="0.88671875" style="1" customWidth="1"/>
    <col min="19" max="19" width="18.5546875" style="1" customWidth="1"/>
    <col min="20" max="20" width="0.88671875" style="1" customWidth="1"/>
    <col min="21" max="21" width="13.6640625" style="1" customWidth="1"/>
    <col min="22" max="22" width="0.88671875" style="1" customWidth="1"/>
    <col min="23" max="23" width="20.5546875" style="1" customWidth="1"/>
    <col min="24" max="24" width="0.88671875" style="1" customWidth="1"/>
    <col min="25" max="25" width="7.5546875" style="1" customWidth="1"/>
    <col min="26" max="26" width="0.88671875" style="1" customWidth="1"/>
    <col min="27" max="27" width="7.6640625" style="1" customWidth="1"/>
    <col min="28" max="28" width="0.88671875" style="1" customWidth="1"/>
    <col min="29" max="29" width="4" style="1" customWidth="1"/>
    <col min="30" max="16383" width="0" style="1" hidden="1"/>
    <col min="16384" max="16384" width="10" style="1" customWidth="1"/>
  </cols>
  <sheetData>
    <row r="1" spans="1:28" ht="21" x14ac:dyDescent="0.4">
      <c r="A1" s="351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</row>
    <row r="2" spans="1:28" ht="15" customHeight="1" x14ac:dyDescent="0.3">
      <c r="B2" s="187"/>
      <c r="C2" s="188"/>
      <c r="D2" s="189"/>
      <c r="E2" s="305" t="s">
        <v>129</v>
      </c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7"/>
      <c r="W2" s="179" t="s">
        <v>34</v>
      </c>
      <c r="X2" s="180"/>
      <c r="Y2" s="181"/>
      <c r="Z2" s="181"/>
      <c r="AA2" s="182"/>
    </row>
    <row r="3" spans="1:28" ht="15.6" x14ac:dyDescent="0.3">
      <c r="B3" s="164"/>
      <c r="D3" s="165"/>
      <c r="E3" s="308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10"/>
      <c r="W3" s="314" t="s">
        <v>35</v>
      </c>
      <c r="X3" s="184"/>
      <c r="Y3" s="185"/>
      <c r="Z3" s="185"/>
      <c r="AA3" s="186"/>
    </row>
    <row r="4" spans="1:28" ht="15.6" x14ac:dyDescent="0.3">
      <c r="B4" s="164"/>
      <c r="D4" s="165"/>
      <c r="E4" s="308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10"/>
      <c r="W4" s="315"/>
      <c r="X4" s="175"/>
      <c r="Y4" s="176"/>
      <c r="Z4" s="176"/>
      <c r="AA4" s="177"/>
    </row>
    <row r="5" spans="1:28" ht="15.6" x14ac:dyDescent="0.3">
      <c r="B5" s="164"/>
      <c r="D5" s="165"/>
      <c r="E5" s="308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10"/>
      <c r="W5" s="316" t="s">
        <v>36</v>
      </c>
      <c r="X5" s="185"/>
      <c r="Y5" s="185"/>
      <c r="Z5" s="185"/>
      <c r="AA5" s="186"/>
    </row>
    <row r="6" spans="1:28" ht="15.6" x14ac:dyDescent="0.3">
      <c r="B6" s="164"/>
      <c r="D6" s="165"/>
      <c r="E6" s="308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10"/>
      <c r="W6" s="317"/>
      <c r="X6" s="171"/>
      <c r="Y6" s="171"/>
      <c r="Z6" s="171"/>
      <c r="AA6" s="173"/>
    </row>
    <row r="7" spans="1:28" ht="3" customHeight="1" x14ac:dyDescent="0.4">
      <c r="A7" s="160"/>
      <c r="B7" s="166"/>
      <c r="C7" s="160"/>
      <c r="D7" s="167"/>
      <c r="E7" s="308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10"/>
      <c r="V7" s="160"/>
      <c r="W7" s="318"/>
      <c r="X7" s="176"/>
      <c r="Y7" s="176"/>
      <c r="Z7" s="176"/>
      <c r="AA7" s="177"/>
      <c r="AB7" s="160"/>
    </row>
    <row r="8" spans="1:28" ht="15.6" x14ac:dyDescent="0.3">
      <c r="B8" s="168"/>
      <c r="C8" s="169"/>
      <c r="D8" s="170"/>
      <c r="E8" s="168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70"/>
      <c r="W8" s="190" t="s">
        <v>37</v>
      </c>
      <c r="X8" s="181"/>
      <c r="Y8" s="352" t="s">
        <v>38</v>
      </c>
      <c r="Z8" s="352"/>
      <c r="AA8" s="353"/>
    </row>
    <row r="9" spans="1:28" ht="3.75" customHeight="1" x14ac:dyDescent="0.25"/>
    <row r="10" spans="1:28" ht="3" customHeight="1" thickBot="1" x14ac:dyDescent="0.3"/>
    <row r="11" spans="1:28" ht="5.25" customHeight="1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8"/>
    </row>
    <row r="12" spans="1:28" ht="28.5" customHeight="1" x14ac:dyDescent="0.3">
      <c r="A12" s="9"/>
      <c r="B12" s="320" t="s">
        <v>6</v>
      </c>
      <c r="C12" s="321"/>
      <c r="D12" s="322"/>
      <c r="E12" s="3"/>
      <c r="F12" s="323" t="s">
        <v>134</v>
      </c>
      <c r="G12" s="324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  <c r="AA12" s="325"/>
      <c r="AB12" s="78"/>
    </row>
    <row r="13" spans="1:28" ht="5.0999999999999996" customHeight="1" x14ac:dyDescent="0.25">
      <c r="A13" s="9"/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78"/>
    </row>
    <row r="14" spans="1:28" ht="30" customHeight="1" x14ac:dyDescent="0.25">
      <c r="A14" s="9"/>
      <c r="B14" s="326" t="s">
        <v>39</v>
      </c>
      <c r="C14" s="327"/>
      <c r="D14" s="328"/>
      <c r="E14" s="3"/>
      <c r="F14" s="329" t="str">
        <f>'Tablero de Indicadores'!C9</f>
        <v>ASEGURAMIENTO DE CALIDAD</v>
      </c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1"/>
      <c r="R14" s="35"/>
      <c r="S14" s="28" t="s">
        <v>9</v>
      </c>
      <c r="T14" s="35"/>
      <c r="U14" s="32" t="e">
        <f>'Tablero de Indicadores'!#REF!</f>
        <v>#REF!</v>
      </c>
      <c r="V14" s="35"/>
      <c r="W14" s="31" t="s">
        <v>40</v>
      </c>
      <c r="X14" s="3"/>
      <c r="Y14" s="332" t="s">
        <v>41</v>
      </c>
      <c r="Z14" s="333"/>
      <c r="AA14" s="334"/>
      <c r="AB14" s="78"/>
    </row>
    <row r="15" spans="1:28" ht="5.0999999999999996" customHeight="1" x14ac:dyDescent="0.25">
      <c r="A15" s="9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78"/>
    </row>
    <row r="16" spans="1:28" ht="57" customHeight="1" x14ac:dyDescent="0.25">
      <c r="A16" s="9"/>
      <c r="B16" s="326" t="s">
        <v>42</v>
      </c>
      <c r="C16" s="327"/>
      <c r="D16" s="335"/>
      <c r="E16" s="3"/>
      <c r="F16" s="336" t="str">
        <f>'Tablero de Indicadores'!D15</f>
        <v>(Total de evaluaciones aprobadas/Total de evaluaciones realizadas)x 100</v>
      </c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38"/>
      <c r="R16" s="3"/>
      <c r="S16" s="29" t="s">
        <v>43</v>
      </c>
      <c r="T16" s="3"/>
      <c r="U16" s="30" t="e">
        <f>+'Tablero de Indicadores'!#REF!</f>
        <v>#REF!</v>
      </c>
      <c r="V16" s="3"/>
      <c r="W16" s="33" t="s">
        <v>44</v>
      </c>
      <c r="X16" s="3"/>
      <c r="Y16" s="25" t="s">
        <v>83</v>
      </c>
      <c r="Z16" s="36"/>
      <c r="AA16" s="25" t="e">
        <f>'Tablero de Indicadores'!#REF!</f>
        <v>#REF!</v>
      </c>
      <c r="AB16" s="78"/>
    </row>
    <row r="17" spans="1:28" ht="5.0999999999999996" customHeight="1" x14ac:dyDescent="0.25">
      <c r="A17" s="9"/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79"/>
      <c r="T17" s="3"/>
      <c r="U17" s="3"/>
      <c r="V17" s="3"/>
      <c r="W17" s="35"/>
      <c r="X17" s="3"/>
      <c r="Y17" s="74"/>
      <c r="Z17" s="74"/>
      <c r="AA17" s="74"/>
      <c r="AB17" s="78"/>
    </row>
    <row r="18" spans="1:28" ht="30" customHeight="1" x14ac:dyDescent="0.25">
      <c r="A18" s="9"/>
      <c r="B18" s="320" t="s">
        <v>46</v>
      </c>
      <c r="C18" s="321"/>
      <c r="D18" s="339"/>
      <c r="E18" s="3"/>
      <c r="F18" s="336" t="str">
        <f>'Tablero de Indicadores'!E16</f>
        <v>PORCENTAJE</v>
      </c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8"/>
      <c r="R18" s="3"/>
      <c r="S18" s="29" t="s">
        <v>5</v>
      </c>
      <c r="T18" s="3"/>
      <c r="U18" s="30" t="str">
        <f>'Tablero de Indicadores'!B16</f>
        <v>Eficacia</v>
      </c>
      <c r="V18" s="3"/>
      <c r="W18" s="34" t="s">
        <v>47</v>
      </c>
      <c r="X18" s="3"/>
      <c r="Y18" s="25" t="e">
        <f>'Tablero de Indicadores'!#REF!</f>
        <v>#REF!</v>
      </c>
      <c r="Z18" s="36"/>
      <c r="AA18" s="25" t="e">
        <f>'Tablero de Indicadores'!#REF!</f>
        <v>#REF!</v>
      </c>
      <c r="AB18" s="78"/>
    </row>
    <row r="19" spans="1:28" ht="4.5" customHeight="1" x14ac:dyDescent="0.25">
      <c r="A19" s="9"/>
      <c r="B19" s="2"/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74"/>
      <c r="Z19" s="74"/>
      <c r="AA19" s="74"/>
      <c r="AB19" s="78"/>
    </row>
    <row r="20" spans="1:28" ht="33.75" customHeight="1" x14ac:dyDescent="0.25">
      <c r="A20" s="9"/>
      <c r="B20" s="320" t="s">
        <v>48</v>
      </c>
      <c r="C20" s="321"/>
      <c r="D20" s="340"/>
      <c r="E20" s="3"/>
      <c r="F20" s="336" t="str">
        <f>'Tablero de Indicadores'!L16</f>
        <v>Coordinadora Aseguramiento de Calidad y SIG</v>
      </c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Q20" s="338"/>
      <c r="R20" s="3"/>
      <c r="S20" s="28" t="s">
        <v>49</v>
      </c>
      <c r="T20" s="3"/>
      <c r="U20" s="27">
        <f>'Tablero de Indicadores'!H9</f>
        <v>2026</v>
      </c>
      <c r="V20" s="3"/>
      <c r="W20" s="26" t="s">
        <v>50</v>
      </c>
      <c r="X20" s="3"/>
      <c r="Y20" s="25" t="s">
        <v>84</v>
      </c>
      <c r="Z20" s="36"/>
      <c r="AA20" s="25" t="e">
        <f>'Tablero de Indicadores'!#REF!</f>
        <v>#REF!</v>
      </c>
      <c r="AB20" s="78"/>
    </row>
    <row r="21" spans="1:28" ht="5.0999999999999996" customHeight="1" thickBot="1" x14ac:dyDescent="0.3">
      <c r="A21" s="11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13"/>
    </row>
    <row r="22" spans="1:28" ht="3.75" customHeight="1" thickBot="1" x14ac:dyDescent="0.3">
      <c r="A22" s="9"/>
      <c r="AB22" s="10"/>
    </row>
    <row r="23" spans="1:28" ht="5.0999999999999996" customHeight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8"/>
    </row>
    <row r="24" spans="1:28" ht="33" customHeight="1" x14ac:dyDescent="0.25">
      <c r="A24" s="9"/>
      <c r="B24" s="252" t="s">
        <v>52</v>
      </c>
      <c r="C24" s="253"/>
      <c r="D24" s="254"/>
      <c r="F24" s="23" t="s">
        <v>53</v>
      </c>
      <c r="G24" s="24" t="s">
        <v>54</v>
      </c>
      <c r="H24" s="24" t="s">
        <v>55</v>
      </c>
      <c r="I24" s="24" t="s">
        <v>56</v>
      </c>
      <c r="J24" s="24" t="s">
        <v>57</v>
      </c>
      <c r="K24" s="23" t="s">
        <v>58</v>
      </c>
      <c r="L24" s="67" t="s">
        <v>59</v>
      </c>
      <c r="M24" s="67" t="s">
        <v>60</v>
      </c>
      <c r="N24" s="66" t="s">
        <v>61</v>
      </c>
      <c r="O24" s="67" t="s">
        <v>62</v>
      </c>
      <c r="P24" s="67" t="s">
        <v>63</v>
      </c>
      <c r="Q24" s="66" t="s">
        <v>64</v>
      </c>
      <c r="R24" s="14"/>
      <c r="S24" s="341" t="s">
        <v>77</v>
      </c>
      <c r="T24" s="342"/>
      <c r="U24" s="342"/>
      <c r="V24" s="342"/>
      <c r="W24" s="342"/>
      <c r="X24" s="342"/>
      <c r="Y24" s="342"/>
      <c r="Z24" s="342"/>
      <c r="AA24" s="343"/>
      <c r="AB24" s="10"/>
    </row>
    <row r="25" spans="1:28" ht="5.0999999999999996" customHeight="1" x14ac:dyDescent="0.25">
      <c r="A25" s="9"/>
      <c r="B25" s="15"/>
      <c r="C25" s="15"/>
      <c r="D25" s="15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14"/>
      <c r="S25" s="344"/>
      <c r="T25" s="345"/>
      <c r="U25" s="345"/>
      <c r="V25" s="345"/>
      <c r="W25" s="345"/>
      <c r="X25" s="345"/>
      <c r="Y25" s="345"/>
      <c r="Z25" s="345"/>
      <c r="AA25" s="346"/>
      <c r="AB25" s="10"/>
    </row>
    <row r="26" spans="1:28" ht="13.8" x14ac:dyDescent="0.25">
      <c r="A26" s="9"/>
      <c r="B26" s="264" t="s">
        <v>85</v>
      </c>
      <c r="C26" s="265"/>
      <c r="D26" s="266"/>
      <c r="F26" s="82"/>
      <c r="G26" s="82"/>
      <c r="H26" s="82"/>
      <c r="I26" s="83"/>
      <c r="J26" s="83"/>
      <c r="K26" s="83"/>
      <c r="L26" s="83"/>
      <c r="M26" s="83"/>
      <c r="N26" s="83"/>
      <c r="O26" s="83"/>
      <c r="P26" s="83"/>
      <c r="Q26" s="83"/>
      <c r="R26" s="14"/>
      <c r="S26" s="344"/>
      <c r="T26" s="345"/>
      <c r="U26" s="345"/>
      <c r="V26" s="345"/>
      <c r="W26" s="345"/>
      <c r="X26" s="345"/>
      <c r="Y26" s="345"/>
      <c r="Z26" s="345"/>
      <c r="AA26" s="346"/>
      <c r="AB26" s="10"/>
    </row>
    <row r="27" spans="1:28" ht="13.8" x14ac:dyDescent="0.25">
      <c r="A27" s="9"/>
      <c r="B27" s="267" t="s">
        <v>86</v>
      </c>
      <c r="C27" s="268"/>
      <c r="D27" s="269"/>
      <c r="E27" s="1">
        <v>0</v>
      </c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14"/>
      <c r="S27" s="344"/>
      <c r="T27" s="345"/>
      <c r="U27" s="345"/>
      <c r="V27" s="345"/>
      <c r="W27" s="345"/>
      <c r="X27" s="345"/>
      <c r="Y27" s="345"/>
      <c r="Z27" s="345"/>
      <c r="AA27" s="346"/>
      <c r="AB27" s="10"/>
    </row>
    <row r="28" spans="1:28" ht="5.0999999999999996" customHeight="1" x14ac:dyDescent="0.25">
      <c r="A28" s="9"/>
      <c r="F28" s="17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4"/>
      <c r="S28" s="344"/>
      <c r="T28" s="345"/>
      <c r="U28" s="345"/>
      <c r="V28" s="345"/>
      <c r="W28" s="345"/>
      <c r="X28" s="345"/>
      <c r="Y28" s="345"/>
      <c r="Z28" s="345"/>
      <c r="AA28" s="346"/>
      <c r="AB28" s="10"/>
    </row>
    <row r="29" spans="1:28" ht="15" customHeight="1" x14ac:dyDescent="0.25">
      <c r="A29" s="9"/>
      <c r="B29" s="264" t="s">
        <v>68</v>
      </c>
      <c r="C29" s="265"/>
      <c r="D29" s="266"/>
      <c r="F29" s="5" t="e">
        <f t="shared" ref="F29:O31" si="0">G29</f>
        <v>#REF!</v>
      </c>
      <c r="G29" s="5" t="e">
        <f t="shared" si="0"/>
        <v>#REF!</v>
      </c>
      <c r="H29" s="5" t="e">
        <f t="shared" si="0"/>
        <v>#REF!</v>
      </c>
      <c r="I29" s="5" t="e">
        <f t="shared" si="0"/>
        <v>#REF!</v>
      </c>
      <c r="J29" s="5" t="e">
        <f t="shared" si="0"/>
        <v>#REF!</v>
      </c>
      <c r="K29" s="5" t="e">
        <f t="shared" si="0"/>
        <v>#REF!</v>
      </c>
      <c r="L29" s="5" t="e">
        <f t="shared" si="0"/>
        <v>#REF!</v>
      </c>
      <c r="M29" s="5" t="e">
        <f t="shared" si="0"/>
        <v>#REF!</v>
      </c>
      <c r="N29" s="5" t="e">
        <f t="shared" si="0"/>
        <v>#REF!</v>
      </c>
      <c r="O29" s="5" t="e">
        <f t="shared" si="0"/>
        <v>#REF!</v>
      </c>
      <c r="P29" s="5" t="e">
        <f>Q29</f>
        <v>#REF!</v>
      </c>
      <c r="Q29" s="5" t="e">
        <f>AA16</f>
        <v>#REF!</v>
      </c>
      <c r="R29" s="14"/>
      <c r="S29" s="344"/>
      <c r="T29" s="345"/>
      <c r="U29" s="345"/>
      <c r="V29" s="345"/>
      <c r="W29" s="345"/>
      <c r="X29" s="345"/>
      <c r="Y29" s="345"/>
      <c r="Z29" s="345"/>
      <c r="AA29" s="346"/>
      <c r="AB29" s="10"/>
    </row>
    <row r="30" spans="1:28" ht="5.0999999999999996" customHeight="1" x14ac:dyDescent="0.25">
      <c r="A30" s="9"/>
      <c r="B30" s="270"/>
      <c r="C30" s="270"/>
      <c r="D30" s="270"/>
      <c r="F30" s="68">
        <f t="shared" si="0"/>
        <v>0</v>
      </c>
      <c r="G30" s="68">
        <f t="shared" si="0"/>
        <v>0</v>
      </c>
      <c r="H30" s="68">
        <f t="shared" si="0"/>
        <v>0</v>
      </c>
      <c r="I30" s="68">
        <f t="shared" si="0"/>
        <v>0</v>
      </c>
      <c r="J30" s="68">
        <f t="shared" si="0"/>
        <v>0</v>
      </c>
      <c r="K30" s="68">
        <f t="shared" si="0"/>
        <v>0</v>
      </c>
      <c r="L30" s="68">
        <f t="shared" si="0"/>
        <v>0</v>
      </c>
      <c r="M30" s="68">
        <f t="shared" si="0"/>
        <v>0</v>
      </c>
      <c r="N30" s="68">
        <f t="shared" si="0"/>
        <v>0</v>
      </c>
      <c r="O30" s="4">
        <f t="shared" si="0"/>
        <v>0</v>
      </c>
      <c r="P30" s="69"/>
      <c r="Q30" s="69"/>
      <c r="R30" s="14"/>
      <c r="S30" s="344"/>
      <c r="T30" s="345"/>
      <c r="U30" s="345"/>
      <c r="V30" s="345"/>
      <c r="W30" s="345"/>
      <c r="X30" s="345"/>
      <c r="Y30" s="345"/>
      <c r="Z30" s="345"/>
      <c r="AA30" s="346"/>
      <c r="AB30" s="10"/>
    </row>
    <row r="31" spans="1:28" ht="15" customHeight="1" x14ac:dyDescent="0.25">
      <c r="A31" s="9"/>
      <c r="B31" s="264" t="s">
        <v>69</v>
      </c>
      <c r="C31" s="265"/>
      <c r="D31" s="266"/>
      <c r="F31" s="5" t="e">
        <f t="shared" si="0"/>
        <v>#REF!</v>
      </c>
      <c r="G31" s="5" t="e">
        <f t="shared" si="0"/>
        <v>#REF!</v>
      </c>
      <c r="H31" s="5" t="e">
        <f t="shared" si="0"/>
        <v>#REF!</v>
      </c>
      <c r="I31" s="5" t="e">
        <f t="shared" si="0"/>
        <v>#REF!</v>
      </c>
      <c r="J31" s="5" t="e">
        <f t="shared" si="0"/>
        <v>#REF!</v>
      </c>
      <c r="K31" s="5" t="e">
        <f t="shared" si="0"/>
        <v>#REF!</v>
      </c>
      <c r="L31" s="5" t="e">
        <f t="shared" si="0"/>
        <v>#REF!</v>
      </c>
      <c r="M31" s="5" t="e">
        <f t="shared" si="0"/>
        <v>#REF!</v>
      </c>
      <c r="N31" s="5" t="e">
        <f t="shared" si="0"/>
        <v>#REF!</v>
      </c>
      <c r="O31" s="5" t="e">
        <f t="shared" si="0"/>
        <v>#REF!</v>
      </c>
      <c r="P31" s="5" t="e">
        <f>Q31</f>
        <v>#REF!</v>
      </c>
      <c r="Q31" s="5" t="e">
        <f>AA20</f>
        <v>#REF!</v>
      </c>
      <c r="R31" s="14"/>
      <c r="S31" s="344"/>
      <c r="T31" s="345"/>
      <c r="U31" s="345"/>
      <c r="V31" s="345"/>
      <c r="W31" s="345"/>
      <c r="X31" s="345"/>
      <c r="Y31" s="345"/>
      <c r="Z31" s="345"/>
      <c r="AA31" s="346"/>
      <c r="AB31" s="10"/>
    </row>
    <row r="32" spans="1:28" ht="5.0999999999999996" customHeight="1" x14ac:dyDescent="0.25">
      <c r="A32" s="9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14"/>
      <c r="S32" s="344"/>
      <c r="T32" s="345"/>
      <c r="U32" s="345"/>
      <c r="V32" s="345"/>
      <c r="W32" s="345"/>
      <c r="X32" s="345"/>
      <c r="Y32" s="345"/>
      <c r="Z32" s="345"/>
      <c r="AA32" s="346"/>
      <c r="AB32" s="10"/>
    </row>
    <row r="33" spans="1:28" ht="13.8" x14ac:dyDescent="0.25">
      <c r="A33" s="9"/>
      <c r="B33" s="271" t="s">
        <v>70</v>
      </c>
      <c r="C33" s="272"/>
      <c r="D33" s="273"/>
      <c r="F33" s="5" t="e">
        <f>F26/F27</f>
        <v>#DIV/0!</v>
      </c>
      <c r="G33" s="5" t="e">
        <f t="shared" ref="G33:Q33" si="1">G26/G27</f>
        <v>#DIV/0!</v>
      </c>
      <c r="H33" s="5" t="e">
        <f t="shared" si="1"/>
        <v>#DIV/0!</v>
      </c>
      <c r="I33" s="5" t="e">
        <f t="shared" si="1"/>
        <v>#DIV/0!</v>
      </c>
      <c r="J33" s="5" t="e">
        <f t="shared" si="1"/>
        <v>#DIV/0!</v>
      </c>
      <c r="K33" s="5" t="e">
        <f t="shared" si="1"/>
        <v>#DIV/0!</v>
      </c>
      <c r="L33" s="5" t="e">
        <f t="shared" si="1"/>
        <v>#DIV/0!</v>
      </c>
      <c r="M33" s="5" t="e">
        <f t="shared" si="1"/>
        <v>#DIV/0!</v>
      </c>
      <c r="N33" s="5" t="e">
        <f t="shared" si="1"/>
        <v>#DIV/0!</v>
      </c>
      <c r="O33" s="5" t="e">
        <f t="shared" si="1"/>
        <v>#DIV/0!</v>
      </c>
      <c r="P33" s="5" t="e">
        <f t="shared" si="1"/>
        <v>#DIV/0!</v>
      </c>
      <c r="Q33" s="5" t="e">
        <f t="shared" si="1"/>
        <v>#DIV/0!</v>
      </c>
      <c r="R33" s="14"/>
      <c r="S33" s="347"/>
      <c r="T33" s="348"/>
      <c r="U33" s="348"/>
      <c r="V33" s="348"/>
      <c r="W33" s="348"/>
      <c r="X33" s="348"/>
      <c r="Y33" s="348"/>
      <c r="Z33" s="348"/>
      <c r="AA33" s="349"/>
      <c r="AB33" s="10"/>
    </row>
    <row r="34" spans="1:28" ht="4.5" customHeight="1" x14ac:dyDescent="0.25">
      <c r="A34" s="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0"/>
    </row>
    <row r="35" spans="1:28" ht="345" customHeight="1" x14ac:dyDescent="0.25">
      <c r="A35" s="9"/>
      <c r="B35" s="277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9"/>
      <c r="AB35" s="10"/>
    </row>
    <row r="36" spans="1:28" ht="4.5" customHeight="1" thickBo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3"/>
    </row>
    <row r="37" spans="1:28" ht="4.5" customHeight="1" x14ac:dyDescent="0.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8"/>
    </row>
    <row r="38" spans="1:28" ht="15" customHeight="1" x14ac:dyDescent="0.25">
      <c r="A38" s="9"/>
      <c r="B38" s="280"/>
      <c r="D38" s="70" t="s">
        <v>71</v>
      </c>
      <c r="E38" s="71"/>
      <c r="F38" s="71"/>
      <c r="G38" s="71"/>
      <c r="H38" s="71"/>
      <c r="I38" s="72"/>
      <c r="J38" s="283" t="s">
        <v>72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5"/>
      <c r="AB38" s="10"/>
    </row>
    <row r="39" spans="1:28" ht="118.5" customHeight="1" x14ac:dyDescent="0.25">
      <c r="A39" s="9"/>
      <c r="B39" s="281"/>
      <c r="C39" s="18"/>
      <c r="D39" s="286"/>
      <c r="E39" s="287"/>
      <c r="F39" s="287"/>
      <c r="G39" s="287"/>
      <c r="H39" s="287"/>
      <c r="I39" s="288"/>
      <c r="J39" s="286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8"/>
      <c r="AB39" s="10"/>
    </row>
    <row r="40" spans="1:28" ht="15" customHeight="1" x14ac:dyDescent="0.25">
      <c r="A40" s="9"/>
      <c r="B40" s="281"/>
      <c r="C40" s="18"/>
      <c r="D40" s="289" t="s">
        <v>73</v>
      </c>
      <c r="E40" s="290"/>
      <c r="F40" s="290"/>
      <c r="G40" s="290"/>
      <c r="H40" s="290"/>
      <c r="I40" s="291"/>
      <c r="J40" s="289" t="s">
        <v>74</v>
      </c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1"/>
      <c r="AB40" s="10"/>
    </row>
    <row r="41" spans="1:28" ht="30" customHeight="1" x14ac:dyDescent="0.25">
      <c r="A41" s="9"/>
      <c r="B41" s="281"/>
      <c r="C41" s="18"/>
      <c r="D41" s="350"/>
      <c r="E41" s="275"/>
      <c r="F41" s="275"/>
      <c r="G41" s="275"/>
      <c r="H41" s="275"/>
      <c r="I41" s="276"/>
      <c r="J41" s="295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7"/>
      <c r="AB41" s="10"/>
    </row>
    <row r="42" spans="1:28" ht="15" customHeight="1" x14ac:dyDescent="0.25">
      <c r="A42" s="9"/>
      <c r="B42" s="281"/>
      <c r="C42" s="18"/>
      <c r="D42" s="304" t="s">
        <v>12</v>
      </c>
      <c r="E42" s="304"/>
      <c r="F42" s="304"/>
      <c r="G42" s="304"/>
      <c r="H42" s="304"/>
      <c r="I42" s="304"/>
      <c r="J42" s="298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300"/>
      <c r="AB42" s="10"/>
    </row>
    <row r="43" spans="1:28" ht="27.75" customHeight="1" x14ac:dyDescent="0.25">
      <c r="A43" s="9"/>
      <c r="B43" s="282"/>
      <c r="C43" s="18"/>
      <c r="D43" s="274" t="s">
        <v>82</v>
      </c>
      <c r="E43" s="275"/>
      <c r="F43" s="275"/>
      <c r="G43" s="275"/>
      <c r="H43" s="275"/>
      <c r="I43" s="276"/>
      <c r="J43" s="301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3"/>
      <c r="AB43" s="10"/>
    </row>
    <row r="44" spans="1:28" ht="5.25" customHeight="1" thickBot="1" x14ac:dyDescent="0.3">
      <c r="A44" s="11"/>
      <c r="B44" s="19"/>
      <c r="C44" s="20"/>
      <c r="D44" s="21"/>
      <c r="E44" s="21"/>
      <c r="F44" s="21"/>
      <c r="G44" s="21"/>
      <c r="H44" s="21"/>
      <c r="I44" s="21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12"/>
      <c r="Y44" s="22"/>
      <c r="Z44" s="22"/>
      <c r="AA44" s="22"/>
      <c r="AB44" s="13"/>
    </row>
    <row r="45" spans="1:28" ht="5.0999999999999996" customHeight="1" x14ac:dyDescent="0.2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8"/>
    </row>
    <row r="46" spans="1:28" ht="4.5" customHeight="1" thickBot="1" x14ac:dyDescent="0.3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3"/>
    </row>
    <row r="47" spans="1:28" ht="13.8" x14ac:dyDescent="0.25"/>
    <row r="48" spans="1:28" ht="12" hidden="1" customHeight="1" x14ac:dyDescent="0.25"/>
    <row r="49" ht="13.8" hidden="1" x14ac:dyDescent="0.25"/>
    <row r="50" ht="13.8" hidden="1" x14ac:dyDescent="0.25"/>
    <row r="51" ht="13.8" hidden="1" x14ac:dyDescent="0.25"/>
    <row r="52" ht="13.8" hidden="1" x14ac:dyDescent="0.25"/>
    <row r="53" ht="13.8" hidden="1" x14ac:dyDescent="0.25"/>
    <row r="54" ht="13.8" hidden="1" x14ac:dyDescent="0.25"/>
    <row r="55" ht="13.8" hidden="1" x14ac:dyDescent="0.25"/>
    <row r="56" ht="13.8" hidden="1" x14ac:dyDescent="0.25"/>
    <row r="57" ht="13.8" hidden="1" x14ac:dyDescent="0.25"/>
    <row r="58" ht="13.8" hidden="1" x14ac:dyDescent="0.25"/>
    <row r="59" ht="13.8" hidden="1" x14ac:dyDescent="0.25"/>
    <row r="60" ht="13.8" hidden="1" x14ac:dyDescent="0.25"/>
    <row r="61" ht="13.8" hidden="1" x14ac:dyDescent="0.25"/>
    <row r="62" ht="13.8" hidden="1" x14ac:dyDescent="0.25"/>
    <row r="63" ht="13.8" hidden="1" x14ac:dyDescent="0.25"/>
    <row r="64" ht="13.8" hidden="1" x14ac:dyDescent="0.25"/>
    <row r="65" ht="13.8" hidden="1" x14ac:dyDescent="0.25"/>
    <row r="66" ht="13.8" hidden="1" x14ac:dyDescent="0.25"/>
    <row r="67" ht="13.8" hidden="1" x14ac:dyDescent="0.25"/>
    <row r="68" ht="13.8" hidden="1" x14ac:dyDescent="0.25"/>
    <row r="69" ht="13.8" hidden="1" x14ac:dyDescent="0.25"/>
    <row r="70" ht="13.8" hidden="1" x14ac:dyDescent="0.25"/>
  </sheetData>
  <mergeCells count="35">
    <mergeCell ref="D43:I43"/>
    <mergeCell ref="B35:AA35"/>
    <mergeCell ref="B38:B43"/>
    <mergeCell ref="J38:AA38"/>
    <mergeCell ref="D39:I39"/>
    <mergeCell ref="J39:AA39"/>
    <mergeCell ref="D40:I40"/>
    <mergeCell ref="J40:AA40"/>
    <mergeCell ref="D41:I41"/>
    <mergeCell ref="J41:AA43"/>
    <mergeCell ref="D42:I42"/>
    <mergeCell ref="B24:D24"/>
    <mergeCell ref="S24:AA33"/>
    <mergeCell ref="B26:D26"/>
    <mergeCell ref="B27:D27"/>
    <mergeCell ref="B29:D29"/>
    <mergeCell ref="B30:D30"/>
    <mergeCell ref="B31:D31"/>
    <mergeCell ref="B33:D33"/>
    <mergeCell ref="B16:D16"/>
    <mergeCell ref="F16:Q16"/>
    <mergeCell ref="B18:D18"/>
    <mergeCell ref="F18:Q18"/>
    <mergeCell ref="B20:D20"/>
    <mergeCell ref="F20:Q20"/>
    <mergeCell ref="A1:AB1"/>
    <mergeCell ref="B12:D12"/>
    <mergeCell ref="F12:AA12"/>
    <mergeCell ref="B14:D14"/>
    <mergeCell ref="F14:Q14"/>
    <mergeCell ref="Y14:AA14"/>
    <mergeCell ref="E2:U7"/>
    <mergeCell ref="W3:W4"/>
    <mergeCell ref="W5:W7"/>
    <mergeCell ref="Y8:AA8"/>
  </mergeCells>
  <conditionalFormatting sqref="F33:Q33">
    <cfRule type="cellIs" dxfId="8" priority="1" stopIfTrue="1" operator="lessThan">
      <formula>$AA$20</formula>
    </cfRule>
    <cfRule type="cellIs" dxfId="7" priority="2" stopIfTrue="1" operator="between">
      <formula>$Y$18</formula>
      <formula>$AA$18</formula>
    </cfRule>
    <cfRule type="cellIs" dxfId="6" priority="3" stopIfTrue="1" operator="greaterThan">
      <formula>$AA$16</formula>
    </cfRule>
  </conditionalFormatting>
  <conditionalFormatting sqref="W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41" right="0.19685039370078741" top="0.19685039370078741" bottom="0.15748031496062992" header="0.15748031496062992" footer="0.11811023622047245"/>
  <pageSetup scale="4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0"/>
  <sheetViews>
    <sheetView showGridLines="0" zoomScale="80" zoomScaleNormal="80" zoomScalePageLayoutView="82" workbookViewId="0">
      <selection activeCell="F27" sqref="F27"/>
    </sheetView>
  </sheetViews>
  <sheetFormatPr baseColWidth="10" defaultColWidth="0" defaultRowHeight="14.25" customHeight="1" zeroHeight="1" x14ac:dyDescent="0.25"/>
  <cols>
    <col min="1" max="1" width="0.88671875" style="1" customWidth="1"/>
    <col min="2" max="2" width="16.6640625" style="1" customWidth="1"/>
    <col min="3" max="3" width="0.88671875" style="1" customWidth="1"/>
    <col min="4" max="4" width="13.6640625" style="1" customWidth="1"/>
    <col min="5" max="5" width="0.88671875" style="1" customWidth="1"/>
    <col min="6" max="17" width="8.6640625" style="1" customWidth="1"/>
    <col min="18" max="18" width="0.88671875" style="1" customWidth="1"/>
    <col min="19" max="19" width="18.5546875" style="1" customWidth="1"/>
    <col min="20" max="20" width="0.88671875" style="1" customWidth="1"/>
    <col min="21" max="21" width="13.6640625" style="1" customWidth="1"/>
    <col min="22" max="22" width="0.88671875" style="1" customWidth="1"/>
    <col min="23" max="23" width="18" style="1" customWidth="1"/>
    <col min="24" max="24" width="0.88671875" style="1" customWidth="1"/>
    <col min="25" max="25" width="7.5546875" style="1" customWidth="1"/>
    <col min="26" max="26" width="1.5546875" style="1" customWidth="1"/>
    <col min="27" max="27" width="11.6640625" style="1" customWidth="1"/>
    <col min="28" max="28" width="0.88671875" style="1" customWidth="1"/>
    <col min="29" max="29" width="4" style="1" customWidth="1"/>
    <col min="30" max="16383" width="0" style="1" hidden="1"/>
    <col min="16384" max="16384" width="9" style="1" customWidth="1"/>
  </cols>
  <sheetData>
    <row r="1" spans="1:28" ht="1.5" customHeight="1" x14ac:dyDescent="0.4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28" ht="15.6" x14ac:dyDescent="0.3">
      <c r="B2" s="187"/>
      <c r="C2" s="188"/>
      <c r="D2" s="189"/>
      <c r="F2" s="305" t="s">
        <v>76</v>
      </c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7"/>
      <c r="W2" s="179" t="s">
        <v>34</v>
      </c>
      <c r="X2" s="180"/>
      <c r="Y2" s="180"/>
      <c r="Z2" s="181"/>
      <c r="AA2" s="182"/>
    </row>
    <row r="3" spans="1:28" ht="15.6" x14ac:dyDescent="0.3">
      <c r="B3" s="164"/>
      <c r="D3" s="165"/>
      <c r="F3" s="308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10"/>
      <c r="W3" s="314" t="s">
        <v>35</v>
      </c>
      <c r="X3" s="184"/>
      <c r="Y3" s="184"/>
      <c r="Z3" s="185"/>
      <c r="AA3" s="186"/>
    </row>
    <row r="4" spans="1:28" ht="15.6" x14ac:dyDescent="0.3">
      <c r="B4" s="164"/>
      <c r="D4" s="165"/>
      <c r="F4" s="308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10"/>
      <c r="W4" s="315"/>
      <c r="X4" s="175"/>
      <c r="Y4" s="175"/>
      <c r="Z4" s="176"/>
      <c r="AA4" s="177"/>
    </row>
    <row r="5" spans="1:28" ht="15.6" x14ac:dyDescent="0.3">
      <c r="B5" s="164"/>
      <c r="D5" s="165"/>
      <c r="F5" s="308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10"/>
      <c r="W5" s="316" t="s">
        <v>36</v>
      </c>
      <c r="X5" s="185"/>
      <c r="Y5" s="184"/>
      <c r="Z5" s="185"/>
      <c r="AA5" s="186"/>
    </row>
    <row r="6" spans="1:28" ht="15.6" x14ac:dyDescent="0.3">
      <c r="B6" s="164"/>
      <c r="D6" s="165"/>
      <c r="F6" s="308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10"/>
      <c r="W6" s="317"/>
      <c r="X6" s="171"/>
      <c r="Y6" s="174"/>
      <c r="Z6" s="171"/>
      <c r="AA6" s="173"/>
    </row>
    <row r="7" spans="1:28" ht="14.25" customHeight="1" x14ac:dyDescent="0.4">
      <c r="A7" s="160"/>
      <c r="B7" s="166"/>
      <c r="C7" s="160"/>
      <c r="D7" s="167"/>
      <c r="E7" s="160"/>
      <c r="F7" s="308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10"/>
      <c r="V7" s="160"/>
      <c r="W7" s="318"/>
      <c r="X7" s="176"/>
      <c r="Y7" s="175"/>
      <c r="Z7" s="176"/>
      <c r="AA7" s="177"/>
      <c r="AB7" s="160"/>
    </row>
    <row r="8" spans="1:28" ht="18" customHeight="1" x14ac:dyDescent="0.3">
      <c r="B8" s="168"/>
      <c r="C8" s="169"/>
      <c r="D8" s="170"/>
      <c r="F8" s="311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3"/>
      <c r="W8" s="190" t="s">
        <v>37</v>
      </c>
      <c r="X8" s="172"/>
      <c r="Y8" s="191" t="s">
        <v>38</v>
      </c>
      <c r="Z8" s="181"/>
      <c r="AA8" s="182"/>
    </row>
    <row r="9" spans="1:28" ht="0.75" customHeight="1" x14ac:dyDescent="0.25"/>
    <row r="10" spans="1:28" ht="3.75" customHeight="1" thickBot="1" x14ac:dyDescent="0.3"/>
    <row r="11" spans="1:28" ht="5.25" customHeight="1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8"/>
    </row>
    <row r="12" spans="1:28" ht="28.5" customHeight="1" x14ac:dyDescent="0.3">
      <c r="A12" s="9"/>
      <c r="B12" s="320" t="s">
        <v>6</v>
      </c>
      <c r="C12" s="321"/>
      <c r="D12" s="322"/>
      <c r="E12" s="3"/>
      <c r="F12" s="323" t="str">
        <f>'Tablero de Indicadores'!C16</f>
        <v>CUMPLIMIENTO DE LA EFICACIA EN EL TRATAMIENTO DE PQRSF</v>
      </c>
      <c r="G12" s="324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  <c r="AA12" s="325"/>
      <c r="AB12" s="78"/>
    </row>
    <row r="13" spans="1:28" ht="5.0999999999999996" customHeight="1" x14ac:dyDescent="0.25">
      <c r="A13" s="9"/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78"/>
    </row>
    <row r="14" spans="1:28" ht="30" customHeight="1" x14ac:dyDescent="0.25">
      <c r="A14" s="9"/>
      <c r="B14" s="326" t="s">
        <v>39</v>
      </c>
      <c r="C14" s="327"/>
      <c r="D14" s="328"/>
      <c r="E14" s="3"/>
      <c r="F14" s="329" t="str">
        <f>'Tablero de Indicadores'!C9</f>
        <v>ASEGURAMIENTO DE CALIDAD</v>
      </c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1"/>
      <c r="R14" s="35"/>
      <c r="S14" s="28" t="s">
        <v>9</v>
      </c>
      <c r="T14" s="35"/>
      <c r="U14" s="32">
        <f>'Tablero de Indicadores'!F16</f>
        <v>1</v>
      </c>
      <c r="V14" s="35"/>
      <c r="W14" s="31" t="s">
        <v>40</v>
      </c>
      <c r="X14" s="3"/>
      <c r="Y14" s="332" t="s">
        <v>41</v>
      </c>
      <c r="Z14" s="333"/>
      <c r="AA14" s="334"/>
      <c r="AB14" s="78"/>
    </row>
    <row r="15" spans="1:28" ht="5.0999999999999996" customHeight="1" x14ac:dyDescent="0.25">
      <c r="A15" s="9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78"/>
    </row>
    <row r="16" spans="1:28" ht="57" customHeight="1" x14ac:dyDescent="0.25">
      <c r="A16" s="9"/>
      <c r="B16" s="326" t="s">
        <v>42</v>
      </c>
      <c r="C16" s="327"/>
      <c r="D16" s="335"/>
      <c r="E16" s="3"/>
      <c r="F16" s="336" t="str">
        <f>'Tablero de Indicadores'!D16</f>
        <v xml:space="preserve">
(PQR resueltas / PQR Recibidas) x 100</v>
      </c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38"/>
      <c r="R16" s="3"/>
      <c r="S16" s="29" t="s">
        <v>43</v>
      </c>
      <c r="T16" s="3"/>
      <c r="U16" s="30" t="str">
        <f>'Tablero de Indicadores'!K16</f>
        <v>Mensual</v>
      </c>
      <c r="V16" s="3"/>
      <c r="W16" s="33" t="s">
        <v>44</v>
      </c>
      <c r="X16" s="3"/>
      <c r="Y16" s="25" t="s">
        <v>45</v>
      </c>
      <c r="Z16" s="36"/>
      <c r="AA16" s="25">
        <f>'Tablero de Indicadores'!G16</f>
        <v>0.9</v>
      </c>
      <c r="AB16" s="78"/>
    </row>
    <row r="17" spans="1:28" ht="5.0999999999999996" customHeight="1" x14ac:dyDescent="0.25">
      <c r="A17" s="9"/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79"/>
      <c r="T17" s="3"/>
      <c r="U17" s="3"/>
      <c r="V17" s="3"/>
      <c r="W17" s="35"/>
      <c r="X17" s="3"/>
      <c r="Y17" s="74"/>
      <c r="Z17" s="74"/>
      <c r="AA17" s="74"/>
      <c r="AB17" s="78"/>
    </row>
    <row r="18" spans="1:28" ht="30" customHeight="1" x14ac:dyDescent="0.25">
      <c r="A18" s="9"/>
      <c r="B18" s="320" t="s">
        <v>46</v>
      </c>
      <c r="C18" s="321"/>
      <c r="D18" s="339"/>
      <c r="E18" s="3"/>
      <c r="F18" s="336" t="str">
        <f>'Tablero de Indicadores'!E16</f>
        <v>PORCENTAJE</v>
      </c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8"/>
      <c r="R18" s="3"/>
      <c r="S18" s="29" t="s">
        <v>5</v>
      </c>
      <c r="T18" s="3"/>
      <c r="U18" s="30" t="str">
        <f>'Tablero de Indicadores'!B16</f>
        <v>Eficacia</v>
      </c>
      <c r="V18" s="3"/>
      <c r="W18" s="34" t="s">
        <v>47</v>
      </c>
      <c r="X18" s="3"/>
      <c r="Y18" s="25">
        <f>'Tablero de Indicadores'!H16</f>
        <v>0.8</v>
      </c>
      <c r="Z18" s="36"/>
      <c r="AA18" s="25">
        <f>'Tablero de Indicadores'!I16</f>
        <v>0.7</v>
      </c>
      <c r="AB18" s="78"/>
    </row>
    <row r="19" spans="1:28" ht="4.5" customHeight="1" x14ac:dyDescent="0.25">
      <c r="A19" s="9"/>
      <c r="B19" s="2"/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74"/>
      <c r="Z19" s="74"/>
      <c r="AA19" s="74"/>
      <c r="AB19" s="78"/>
    </row>
    <row r="20" spans="1:28" ht="30" customHeight="1" x14ac:dyDescent="0.25">
      <c r="A20" s="9"/>
      <c r="B20" s="320" t="s">
        <v>48</v>
      </c>
      <c r="C20" s="321"/>
      <c r="D20" s="340"/>
      <c r="E20" s="3"/>
      <c r="F20" s="336" t="str">
        <f>'Tablero de Indicadores'!L16</f>
        <v>Coordinadora Aseguramiento de Calidad y SIG</v>
      </c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Q20" s="338"/>
      <c r="R20" s="3"/>
      <c r="S20" s="28" t="s">
        <v>49</v>
      </c>
      <c r="T20" s="3"/>
      <c r="U20" s="27">
        <f>'Tablero de Indicadores'!H9</f>
        <v>2026</v>
      </c>
      <c r="V20" s="3"/>
      <c r="W20" s="26" t="s">
        <v>50</v>
      </c>
      <c r="X20" s="3"/>
      <c r="Y20" s="25" t="s">
        <v>51</v>
      </c>
      <c r="Z20" s="36"/>
      <c r="AA20" s="25">
        <f>'Tablero de Indicadores'!J16</f>
        <v>0.6</v>
      </c>
      <c r="AB20" s="78"/>
    </row>
    <row r="21" spans="1:28" ht="5.0999999999999996" customHeight="1" thickBot="1" x14ac:dyDescent="0.3">
      <c r="A21" s="11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13"/>
    </row>
    <row r="22" spans="1:28" ht="3.75" customHeight="1" thickBot="1" x14ac:dyDescent="0.3">
      <c r="A22" s="9"/>
      <c r="AB22" s="10"/>
    </row>
    <row r="23" spans="1:28" ht="5.0999999999999996" customHeight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8"/>
    </row>
    <row r="24" spans="1:28" ht="33" customHeight="1" x14ac:dyDescent="0.25">
      <c r="A24" s="9"/>
      <c r="B24" s="252" t="s">
        <v>52</v>
      </c>
      <c r="C24" s="253"/>
      <c r="D24" s="254"/>
      <c r="F24" s="23" t="s">
        <v>53</v>
      </c>
      <c r="G24" s="24" t="s">
        <v>54</v>
      </c>
      <c r="H24" s="24" t="s">
        <v>55</v>
      </c>
      <c r="I24" s="24" t="s">
        <v>56</v>
      </c>
      <c r="J24" s="24" t="s">
        <v>57</v>
      </c>
      <c r="K24" s="23" t="s">
        <v>58</v>
      </c>
      <c r="L24" s="67" t="s">
        <v>59</v>
      </c>
      <c r="M24" s="67" t="s">
        <v>60</v>
      </c>
      <c r="N24" s="66" t="s">
        <v>61</v>
      </c>
      <c r="O24" s="67" t="s">
        <v>62</v>
      </c>
      <c r="P24" s="67" t="s">
        <v>63</v>
      </c>
      <c r="Q24" s="66" t="s">
        <v>64</v>
      </c>
      <c r="R24" s="14"/>
      <c r="S24" s="341" t="s">
        <v>77</v>
      </c>
      <c r="T24" s="342"/>
      <c r="U24" s="342"/>
      <c r="V24" s="342"/>
      <c r="W24" s="342"/>
      <c r="X24" s="342"/>
      <c r="Y24" s="342"/>
      <c r="Z24" s="342"/>
      <c r="AA24" s="343"/>
      <c r="AB24" s="10"/>
    </row>
    <row r="25" spans="1:28" ht="5.0999999999999996" customHeight="1" x14ac:dyDescent="0.25">
      <c r="A25" s="9"/>
      <c r="B25" s="15"/>
      <c r="C25" s="15"/>
      <c r="D25" s="15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14"/>
      <c r="S25" s="344"/>
      <c r="T25" s="345"/>
      <c r="U25" s="345"/>
      <c r="V25" s="345"/>
      <c r="W25" s="345"/>
      <c r="X25" s="345"/>
      <c r="Y25" s="345"/>
      <c r="Z25" s="345"/>
      <c r="AA25" s="346"/>
      <c r="AB25" s="10"/>
    </row>
    <row r="26" spans="1:28" ht="13.8" x14ac:dyDescent="0.25">
      <c r="A26" s="9"/>
      <c r="B26" s="264" t="s">
        <v>80</v>
      </c>
      <c r="C26" s="265"/>
      <c r="D26" s="266"/>
      <c r="F26" s="82"/>
      <c r="G26" s="82"/>
      <c r="H26" s="82"/>
      <c r="I26" s="83"/>
      <c r="J26" s="83"/>
      <c r="K26" s="83"/>
      <c r="L26" s="83"/>
      <c r="M26" s="83"/>
      <c r="N26" s="83"/>
      <c r="O26" s="83"/>
      <c r="P26" s="83"/>
      <c r="Q26" s="83"/>
      <c r="R26" s="14"/>
      <c r="S26" s="344"/>
      <c r="T26" s="345"/>
      <c r="U26" s="345"/>
      <c r="V26" s="345"/>
      <c r="W26" s="345"/>
      <c r="X26" s="345"/>
      <c r="Y26" s="345"/>
      <c r="Z26" s="345"/>
      <c r="AA26" s="346"/>
      <c r="AB26" s="10"/>
    </row>
    <row r="27" spans="1:28" ht="13.8" x14ac:dyDescent="0.25">
      <c r="A27" s="9"/>
      <c r="B27" s="267" t="s">
        <v>81</v>
      </c>
      <c r="C27" s="268"/>
      <c r="D27" s="269"/>
      <c r="E27" s="1">
        <v>0</v>
      </c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14"/>
      <c r="S27" s="344"/>
      <c r="T27" s="345"/>
      <c r="U27" s="345"/>
      <c r="V27" s="345"/>
      <c r="W27" s="345"/>
      <c r="X27" s="345"/>
      <c r="Y27" s="345"/>
      <c r="Z27" s="345"/>
      <c r="AA27" s="346"/>
      <c r="AB27" s="10"/>
    </row>
    <row r="28" spans="1:28" ht="5.0999999999999996" customHeight="1" x14ac:dyDescent="0.25">
      <c r="A28" s="9"/>
      <c r="F28" s="17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4"/>
      <c r="S28" s="344"/>
      <c r="T28" s="345"/>
      <c r="U28" s="345"/>
      <c r="V28" s="345"/>
      <c r="W28" s="345"/>
      <c r="X28" s="345"/>
      <c r="Y28" s="345"/>
      <c r="Z28" s="345"/>
      <c r="AA28" s="346"/>
      <c r="AB28" s="10"/>
    </row>
    <row r="29" spans="1:28" ht="15" customHeight="1" x14ac:dyDescent="0.25">
      <c r="A29" s="9"/>
      <c r="B29" s="264" t="s">
        <v>68</v>
      </c>
      <c r="C29" s="265"/>
      <c r="D29" s="266"/>
      <c r="F29" s="5">
        <f t="shared" ref="F29:O31" si="0">G29</f>
        <v>0.9</v>
      </c>
      <c r="G29" s="5">
        <f t="shared" si="0"/>
        <v>0.9</v>
      </c>
      <c r="H29" s="5">
        <f t="shared" si="0"/>
        <v>0.9</v>
      </c>
      <c r="I29" s="5">
        <f t="shared" si="0"/>
        <v>0.9</v>
      </c>
      <c r="J29" s="5">
        <f t="shared" si="0"/>
        <v>0.9</v>
      </c>
      <c r="K29" s="5">
        <f t="shared" si="0"/>
        <v>0.9</v>
      </c>
      <c r="L29" s="5">
        <f t="shared" si="0"/>
        <v>0.9</v>
      </c>
      <c r="M29" s="5">
        <f t="shared" si="0"/>
        <v>0.9</v>
      </c>
      <c r="N29" s="5">
        <f t="shared" si="0"/>
        <v>0.9</v>
      </c>
      <c r="O29" s="5">
        <f t="shared" si="0"/>
        <v>0.9</v>
      </c>
      <c r="P29" s="5">
        <f>Q29</f>
        <v>0.9</v>
      </c>
      <c r="Q29" s="5">
        <f>AA16</f>
        <v>0.9</v>
      </c>
      <c r="R29" s="14"/>
      <c r="S29" s="344"/>
      <c r="T29" s="345"/>
      <c r="U29" s="345"/>
      <c r="V29" s="345"/>
      <c r="W29" s="345"/>
      <c r="X29" s="345"/>
      <c r="Y29" s="345"/>
      <c r="Z29" s="345"/>
      <c r="AA29" s="346"/>
      <c r="AB29" s="10"/>
    </row>
    <row r="30" spans="1:28" ht="5.0999999999999996" customHeight="1" x14ac:dyDescent="0.25">
      <c r="A30" s="9"/>
      <c r="B30" s="270"/>
      <c r="C30" s="270"/>
      <c r="D30" s="270"/>
      <c r="F30" s="68">
        <f t="shared" si="0"/>
        <v>0</v>
      </c>
      <c r="G30" s="68">
        <f t="shared" si="0"/>
        <v>0</v>
      </c>
      <c r="H30" s="68">
        <f t="shared" si="0"/>
        <v>0</v>
      </c>
      <c r="I30" s="68">
        <f t="shared" si="0"/>
        <v>0</v>
      </c>
      <c r="J30" s="68">
        <f t="shared" si="0"/>
        <v>0</v>
      </c>
      <c r="K30" s="68">
        <f t="shared" si="0"/>
        <v>0</v>
      </c>
      <c r="L30" s="68">
        <f t="shared" si="0"/>
        <v>0</v>
      </c>
      <c r="M30" s="68">
        <f t="shared" si="0"/>
        <v>0</v>
      </c>
      <c r="N30" s="68">
        <f t="shared" si="0"/>
        <v>0</v>
      </c>
      <c r="O30" s="4">
        <f t="shared" si="0"/>
        <v>0</v>
      </c>
      <c r="P30" s="69"/>
      <c r="Q30" s="69"/>
      <c r="R30" s="14"/>
      <c r="S30" s="344"/>
      <c r="T30" s="345"/>
      <c r="U30" s="345"/>
      <c r="V30" s="345"/>
      <c r="W30" s="345"/>
      <c r="X30" s="345"/>
      <c r="Y30" s="345"/>
      <c r="Z30" s="345"/>
      <c r="AA30" s="346"/>
      <c r="AB30" s="10"/>
    </row>
    <row r="31" spans="1:28" ht="15" customHeight="1" x14ac:dyDescent="0.25">
      <c r="A31" s="9"/>
      <c r="B31" s="264" t="s">
        <v>69</v>
      </c>
      <c r="C31" s="265"/>
      <c r="D31" s="266"/>
      <c r="F31" s="5">
        <f t="shared" si="0"/>
        <v>0.6</v>
      </c>
      <c r="G31" s="5">
        <f t="shared" si="0"/>
        <v>0.6</v>
      </c>
      <c r="H31" s="5">
        <f t="shared" si="0"/>
        <v>0.6</v>
      </c>
      <c r="I31" s="5">
        <f t="shared" si="0"/>
        <v>0.6</v>
      </c>
      <c r="J31" s="5">
        <f t="shared" si="0"/>
        <v>0.6</v>
      </c>
      <c r="K31" s="5">
        <f t="shared" si="0"/>
        <v>0.6</v>
      </c>
      <c r="L31" s="5">
        <f t="shared" si="0"/>
        <v>0.6</v>
      </c>
      <c r="M31" s="5">
        <f t="shared" si="0"/>
        <v>0.6</v>
      </c>
      <c r="N31" s="5">
        <f t="shared" si="0"/>
        <v>0.6</v>
      </c>
      <c r="O31" s="5">
        <f t="shared" si="0"/>
        <v>0.6</v>
      </c>
      <c r="P31" s="5">
        <f>Q31</f>
        <v>0.6</v>
      </c>
      <c r="Q31" s="5">
        <f>AA20</f>
        <v>0.6</v>
      </c>
      <c r="R31" s="14"/>
      <c r="S31" s="344"/>
      <c r="T31" s="345"/>
      <c r="U31" s="345"/>
      <c r="V31" s="345"/>
      <c r="W31" s="345"/>
      <c r="X31" s="345"/>
      <c r="Y31" s="345"/>
      <c r="Z31" s="345"/>
      <c r="AA31" s="346"/>
      <c r="AB31" s="10"/>
    </row>
    <row r="32" spans="1:28" ht="5.0999999999999996" customHeight="1" x14ac:dyDescent="0.25">
      <c r="A32" s="9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14"/>
      <c r="S32" s="344"/>
      <c r="T32" s="345"/>
      <c r="U32" s="345"/>
      <c r="V32" s="345"/>
      <c r="W32" s="345"/>
      <c r="X32" s="345"/>
      <c r="Y32" s="345"/>
      <c r="Z32" s="345"/>
      <c r="AA32" s="346"/>
      <c r="AB32" s="10"/>
    </row>
    <row r="33" spans="1:28" ht="13.8" x14ac:dyDescent="0.25">
      <c r="A33" s="9"/>
      <c r="B33" s="271" t="s">
        <v>70</v>
      </c>
      <c r="C33" s="272"/>
      <c r="D33" s="273"/>
      <c r="F33" s="5" t="e">
        <f>F26/F27</f>
        <v>#DIV/0!</v>
      </c>
      <c r="G33" s="5" t="e">
        <f t="shared" ref="G33:Q33" si="1">G26/G27</f>
        <v>#DIV/0!</v>
      </c>
      <c r="H33" s="5" t="e">
        <f t="shared" si="1"/>
        <v>#DIV/0!</v>
      </c>
      <c r="I33" s="5" t="e">
        <f t="shared" si="1"/>
        <v>#DIV/0!</v>
      </c>
      <c r="J33" s="5" t="e">
        <f t="shared" si="1"/>
        <v>#DIV/0!</v>
      </c>
      <c r="K33" s="5" t="e">
        <f t="shared" si="1"/>
        <v>#DIV/0!</v>
      </c>
      <c r="L33" s="5" t="e">
        <f t="shared" si="1"/>
        <v>#DIV/0!</v>
      </c>
      <c r="M33" s="5" t="e">
        <f t="shared" si="1"/>
        <v>#DIV/0!</v>
      </c>
      <c r="N33" s="5" t="e">
        <f t="shared" si="1"/>
        <v>#DIV/0!</v>
      </c>
      <c r="O33" s="5" t="e">
        <f t="shared" si="1"/>
        <v>#DIV/0!</v>
      </c>
      <c r="P33" s="5" t="e">
        <f t="shared" si="1"/>
        <v>#DIV/0!</v>
      </c>
      <c r="Q33" s="5" t="e">
        <f t="shared" si="1"/>
        <v>#DIV/0!</v>
      </c>
      <c r="R33" s="14"/>
      <c r="S33" s="347"/>
      <c r="T33" s="348"/>
      <c r="U33" s="348"/>
      <c r="V33" s="348"/>
      <c r="W33" s="348"/>
      <c r="X33" s="348"/>
      <c r="Y33" s="348"/>
      <c r="Z33" s="348"/>
      <c r="AA33" s="349"/>
      <c r="AB33" s="10"/>
    </row>
    <row r="34" spans="1:28" ht="4.5" customHeight="1" x14ac:dyDescent="0.25">
      <c r="A34" s="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0"/>
    </row>
    <row r="35" spans="1:28" ht="345" customHeight="1" x14ac:dyDescent="0.25">
      <c r="A35" s="9"/>
      <c r="B35" s="277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9"/>
      <c r="AB35" s="10"/>
    </row>
    <row r="36" spans="1:28" ht="4.5" customHeight="1" thickBo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3"/>
    </row>
    <row r="37" spans="1:28" ht="4.5" customHeight="1" x14ac:dyDescent="0.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8"/>
    </row>
    <row r="38" spans="1:28" ht="15" customHeight="1" x14ac:dyDescent="0.25">
      <c r="A38" s="9"/>
      <c r="B38" s="280"/>
      <c r="D38" s="70" t="s">
        <v>71</v>
      </c>
      <c r="E38" s="71"/>
      <c r="F38" s="71"/>
      <c r="G38" s="71"/>
      <c r="H38" s="71"/>
      <c r="I38" s="72"/>
      <c r="J38" s="283" t="s">
        <v>72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5"/>
      <c r="AB38" s="10"/>
    </row>
    <row r="39" spans="1:28" ht="217.5" customHeight="1" x14ac:dyDescent="0.25">
      <c r="A39" s="9"/>
      <c r="B39" s="281"/>
      <c r="C39" s="18"/>
      <c r="D39" s="286"/>
      <c r="E39" s="287"/>
      <c r="F39" s="287"/>
      <c r="G39" s="287"/>
      <c r="H39" s="287"/>
      <c r="I39" s="288"/>
      <c r="J39" s="286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8"/>
      <c r="AB39" s="10"/>
    </row>
    <row r="40" spans="1:28" ht="15" customHeight="1" x14ac:dyDescent="0.25">
      <c r="A40" s="9"/>
      <c r="B40" s="281"/>
      <c r="C40" s="18"/>
      <c r="D40" s="289"/>
      <c r="E40" s="290"/>
      <c r="F40" s="290"/>
      <c r="G40" s="290"/>
      <c r="H40" s="290"/>
      <c r="I40" s="291"/>
      <c r="J40" s="289" t="s">
        <v>74</v>
      </c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1"/>
      <c r="AB40" s="10"/>
    </row>
    <row r="41" spans="1:28" ht="30" customHeight="1" x14ac:dyDescent="0.25">
      <c r="A41" s="9"/>
      <c r="B41" s="281"/>
      <c r="C41" s="18"/>
      <c r="D41" s="350"/>
      <c r="E41" s="275"/>
      <c r="F41" s="275"/>
      <c r="G41" s="275"/>
      <c r="H41" s="275"/>
      <c r="I41" s="276"/>
      <c r="J41" s="295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7"/>
      <c r="AB41" s="10"/>
    </row>
    <row r="42" spans="1:28" ht="15" customHeight="1" x14ac:dyDescent="0.25">
      <c r="A42" s="9"/>
      <c r="B42" s="281"/>
      <c r="C42" s="18"/>
      <c r="D42" s="304" t="s">
        <v>12</v>
      </c>
      <c r="E42" s="304"/>
      <c r="F42" s="304"/>
      <c r="G42" s="304"/>
      <c r="H42" s="304"/>
      <c r="I42" s="304"/>
      <c r="J42" s="298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300"/>
      <c r="AB42" s="10"/>
    </row>
    <row r="43" spans="1:28" ht="27.75" customHeight="1" x14ac:dyDescent="0.25">
      <c r="A43" s="9"/>
      <c r="B43" s="282"/>
      <c r="C43" s="18"/>
      <c r="D43" s="274" t="s">
        <v>82</v>
      </c>
      <c r="E43" s="275"/>
      <c r="F43" s="275"/>
      <c r="G43" s="275"/>
      <c r="H43" s="275"/>
      <c r="I43" s="276"/>
      <c r="J43" s="301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3"/>
      <c r="AB43" s="10"/>
    </row>
    <row r="44" spans="1:28" ht="5.25" customHeight="1" thickBot="1" x14ac:dyDescent="0.3">
      <c r="A44" s="11"/>
      <c r="B44" s="19"/>
      <c r="C44" s="20"/>
      <c r="D44" s="21"/>
      <c r="E44" s="21"/>
      <c r="F44" s="21"/>
      <c r="G44" s="21"/>
      <c r="H44" s="21"/>
      <c r="I44" s="21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12"/>
      <c r="Y44" s="22"/>
      <c r="Z44" s="22"/>
      <c r="AA44" s="22"/>
      <c r="AB44" s="13"/>
    </row>
    <row r="45" spans="1:28" ht="5.0999999999999996" customHeight="1" x14ac:dyDescent="0.2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8"/>
    </row>
    <row r="46" spans="1:28" ht="4.5" customHeight="1" thickBot="1" x14ac:dyDescent="0.3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3"/>
    </row>
    <row r="47" spans="1:28" ht="13.8" x14ac:dyDescent="0.25"/>
    <row r="48" spans="1:28" ht="12" hidden="1" customHeight="1" x14ac:dyDescent="0.25"/>
    <row r="49" ht="13.8" hidden="1" x14ac:dyDescent="0.25"/>
    <row r="50" ht="13.8" hidden="1" x14ac:dyDescent="0.25"/>
    <row r="51" ht="13.8" hidden="1" x14ac:dyDescent="0.25"/>
    <row r="52" ht="13.8" hidden="1" x14ac:dyDescent="0.25"/>
    <row r="53" ht="13.8" hidden="1" x14ac:dyDescent="0.25"/>
    <row r="54" ht="13.8" hidden="1" x14ac:dyDescent="0.25"/>
    <row r="55" ht="13.8" hidden="1" x14ac:dyDescent="0.25"/>
    <row r="56" ht="13.8" hidden="1" x14ac:dyDescent="0.25"/>
    <row r="57" ht="13.8" hidden="1" x14ac:dyDescent="0.25"/>
    <row r="58" ht="13.8" hidden="1" x14ac:dyDescent="0.25"/>
    <row r="59" ht="13.8" hidden="1" x14ac:dyDescent="0.25"/>
    <row r="60" ht="13.8" hidden="1" x14ac:dyDescent="0.25"/>
    <row r="61" ht="13.8" hidden="1" x14ac:dyDescent="0.25"/>
    <row r="62" ht="13.8" hidden="1" x14ac:dyDescent="0.25"/>
    <row r="63" ht="13.8" hidden="1" x14ac:dyDescent="0.25"/>
    <row r="64" ht="13.8" hidden="1" x14ac:dyDescent="0.25"/>
    <row r="65" ht="13.8" hidden="1" x14ac:dyDescent="0.25"/>
    <row r="66" ht="13.8" hidden="1" x14ac:dyDescent="0.25"/>
    <row r="67" ht="13.8" hidden="1" x14ac:dyDescent="0.25"/>
    <row r="68" ht="13.8" hidden="1" x14ac:dyDescent="0.25"/>
    <row r="69" ht="13.8" hidden="1" x14ac:dyDescent="0.25"/>
    <row r="70" ht="13.8" hidden="1" x14ac:dyDescent="0.25"/>
  </sheetData>
  <mergeCells count="33">
    <mergeCell ref="D43:I43"/>
    <mergeCell ref="B35:AA35"/>
    <mergeCell ref="B38:B43"/>
    <mergeCell ref="J38:AA38"/>
    <mergeCell ref="D39:I39"/>
    <mergeCell ref="J39:AA39"/>
    <mergeCell ref="D40:I40"/>
    <mergeCell ref="J40:AA40"/>
    <mergeCell ref="D41:I41"/>
    <mergeCell ref="J41:AA43"/>
    <mergeCell ref="D42:I42"/>
    <mergeCell ref="S24:AA33"/>
    <mergeCell ref="B26:D26"/>
    <mergeCell ref="B27:D27"/>
    <mergeCell ref="B29:D29"/>
    <mergeCell ref="B30:D30"/>
    <mergeCell ref="B31:D31"/>
    <mergeCell ref="B33:D33"/>
    <mergeCell ref="B18:D18"/>
    <mergeCell ref="F18:Q18"/>
    <mergeCell ref="B20:D20"/>
    <mergeCell ref="F20:Q20"/>
    <mergeCell ref="B24:D24"/>
    <mergeCell ref="B14:D14"/>
    <mergeCell ref="F14:Q14"/>
    <mergeCell ref="Y14:AA14"/>
    <mergeCell ref="B16:D16"/>
    <mergeCell ref="F16:Q16"/>
    <mergeCell ref="F2:U8"/>
    <mergeCell ref="W3:W4"/>
    <mergeCell ref="W5:W7"/>
    <mergeCell ref="B12:D12"/>
    <mergeCell ref="F12:AA12"/>
  </mergeCells>
  <conditionalFormatting sqref="F33:Q33">
    <cfRule type="cellIs" dxfId="5" priority="1" stopIfTrue="1" operator="lessThan">
      <formula>$AA$20</formula>
    </cfRule>
    <cfRule type="cellIs" dxfId="4" priority="2" stopIfTrue="1" operator="between">
      <formula>$Y$18</formula>
      <formula>$AA$18</formula>
    </cfRule>
    <cfRule type="cellIs" dxfId="3" priority="3" stopIfTrue="1" operator="greaterThan">
      <formula>$AA$16</formula>
    </cfRule>
  </conditionalFormatting>
  <conditionalFormatting sqref="W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41" right="0.19685039370078741" top="0.19685039370078741" bottom="0.15748031496062992" header="0.15748031496062992" footer="0.11811023622047245"/>
  <pageSetup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70"/>
  <sheetViews>
    <sheetView showGridLines="0" zoomScale="85" zoomScaleNormal="85" zoomScalePageLayoutView="82" workbookViewId="0">
      <selection activeCell="F16" sqref="F16:Q16"/>
    </sheetView>
  </sheetViews>
  <sheetFormatPr baseColWidth="10" defaultColWidth="0" defaultRowHeight="14.25" customHeight="1" zeroHeight="1" x14ac:dyDescent="0.25"/>
  <cols>
    <col min="1" max="1" width="0.88671875" style="1" customWidth="1"/>
    <col min="2" max="2" width="16.6640625" style="1" customWidth="1"/>
    <col min="3" max="3" width="0.88671875" style="1" customWidth="1"/>
    <col min="4" max="4" width="13.6640625" style="1" customWidth="1"/>
    <col min="5" max="5" width="0.88671875" style="1" customWidth="1"/>
    <col min="6" max="17" width="8.6640625" style="1" customWidth="1"/>
    <col min="18" max="18" width="0.88671875" style="1" customWidth="1"/>
    <col min="19" max="19" width="18.5546875" style="1" customWidth="1"/>
    <col min="20" max="20" width="0.88671875" style="1" customWidth="1"/>
    <col min="21" max="21" width="13.6640625" style="1" customWidth="1"/>
    <col min="22" max="22" width="0.88671875" style="1" customWidth="1"/>
    <col min="23" max="23" width="20.5546875" style="1" customWidth="1"/>
    <col min="24" max="24" width="0.88671875" style="1" customWidth="1"/>
    <col min="25" max="25" width="7.5546875" style="1" customWidth="1"/>
    <col min="26" max="26" width="0.88671875" style="1" customWidth="1"/>
    <col min="27" max="27" width="7.6640625" style="1" customWidth="1"/>
    <col min="28" max="28" width="0.88671875" style="1" customWidth="1"/>
    <col min="29" max="29" width="4" style="1" customWidth="1"/>
    <col min="30" max="16384" width="0" style="1" hidden="1"/>
  </cols>
  <sheetData>
    <row r="1" spans="1:28" ht="21" x14ac:dyDescent="0.4">
      <c r="A1" s="351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</row>
    <row r="2" spans="1:28" ht="15.6" x14ac:dyDescent="0.3">
      <c r="B2" s="187"/>
      <c r="C2" s="188"/>
      <c r="D2" s="189"/>
      <c r="E2" s="187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9"/>
      <c r="W2" s="179" t="s">
        <v>34</v>
      </c>
      <c r="X2" s="180"/>
      <c r="Y2" s="181"/>
      <c r="Z2" s="181"/>
      <c r="AA2" s="182"/>
    </row>
    <row r="3" spans="1:28" ht="15.6" x14ac:dyDescent="0.3">
      <c r="B3" s="164"/>
      <c r="D3" s="165"/>
      <c r="E3" s="308" t="s">
        <v>87</v>
      </c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10"/>
      <c r="W3" s="314" t="s">
        <v>35</v>
      </c>
      <c r="X3" s="184"/>
      <c r="Y3" s="185"/>
      <c r="Z3" s="185"/>
      <c r="AA3" s="186"/>
    </row>
    <row r="4" spans="1:28" ht="15.6" x14ac:dyDescent="0.3">
      <c r="B4" s="164"/>
      <c r="D4" s="165"/>
      <c r="E4" s="308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10"/>
      <c r="W4" s="315"/>
      <c r="X4" s="175"/>
      <c r="Y4" s="176"/>
      <c r="Z4" s="176"/>
      <c r="AA4" s="177"/>
    </row>
    <row r="5" spans="1:28" ht="15.6" x14ac:dyDescent="0.3">
      <c r="B5" s="164"/>
      <c r="D5" s="165"/>
      <c r="E5" s="308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10"/>
      <c r="W5" s="316" t="s">
        <v>36</v>
      </c>
      <c r="X5" s="185"/>
      <c r="Y5" s="185"/>
      <c r="Z5" s="185"/>
      <c r="AA5" s="186"/>
    </row>
    <row r="6" spans="1:28" ht="15.75" customHeight="1" x14ac:dyDescent="0.3">
      <c r="B6" s="164"/>
      <c r="D6" s="165"/>
      <c r="E6" s="308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10"/>
      <c r="W6" s="317"/>
      <c r="X6" s="171"/>
      <c r="Y6" s="171"/>
      <c r="Z6" s="171"/>
      <c r="AA6" s="173"/>
    </row>
    <row r="7" spans="1:28" ht="10.5" customHeight="1" x14ac:dyDescent="0.4">
      <c r="A7" s="160"/>
      <c r="B7" s="166"/>
      <c r="C7" s="160"/>
      <c r="D7" s="167"/>
      <c r="E7" s="308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10"/>
      <c r="V7" s="160"/>
      <c r="W7" s="318"/>
      <c r="X7" s="176"/>
      <c r="Y7" s="176"/>
      <c r="Z7" s="176"/>
      <c r="AA7" s="177"/>
      <c r="AB7" s="160"/>
    </row>
    <row r="8" spans="1:28" ht="15.6" x14ac:dyDescent="0.3">
      <c r="B8" s="168"/>
      <c r="C8" s="169"/>
      <c r="D8" s="170"/>
      <c r="E8" s="311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3"/>
      <c r="W8" s="190" t="s">
        <v>37</v>
      </c>
      <c r="X8" s="181"/>
      <c r="Y8" s="352" t="s">
        <v>38</v>
      </c>
      <c r="Z8" s="352"/>
      <c r="AA8" s="353"/>
    </row>
    <row r="9" spans="1:28" ht="3.75" customHeight="1" thickBot="1" x14ac:dyDescent="0.3"/>
    <row r="10" spans="1:28" ht="9" hidden="1" customHeight="1" thickBot="1" x14ac:dyDescent="0.3"/>
    <row r="11" spans="1:28" ht="5.25" customHeight="1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8"/>
    </row>
    <row r="12" spans="1:28" ht="28.5" customHeight="1" x14ac:dyDescent="0.3">
      <c r="A12" s="9"/>
      <c r="B12" s="320" t="s">
        <v>6</v>
      </c>
      <c r="C12" s="321"/>
      <c r="D12" s="322"/>
      <c r="E12" s="3"/>
      <c r="F12" s="323" t="str">
        <f>'Tablero de Indicadores'!C17</f>
        <v>SISTEMA DE GESTIÓN DOCUMENTAL</v>
      </c>
      <c r="G12" s="324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  <c r="AA12" s="325"/>
      <c r="AB12" s="78"/>
    </row>
    <row r="13" spans="1:28" ht="5.0999999999999996" customHeight="1" x14ac:dyDescent="0.25">
      <c r="A13" s="9"/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78"/>
    </row>
    <row r="14" spans="1:28" ht="30" customHeight="1" x14ac:dyDescent="0.25">
      <c r="A14" s="9"/>
      <c r="B14" s="326" t="s">
        <v>39</v>
      </c>
      <c r="C14" s="327"/>
      <c r="D14" s="328"/>
      <c r="E14" s="3"/>
      <c r="F14" s="329" t="str">
        <f>'Tablero de Indicadores'!C9</f>
        <v>ASEGURAMIENTO DE CALIDAD</v>
      </c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1"/>
      <c r="R14" s="35"/>
      <c r="S14" s="28" t="s">
        <v>9</v>
      </c>
      <c r="T14" s="35"/>
      <c r="U14" s="32">
        <f>'Tablero de Indicadores'!F17</f>
        <v>1</v>
      </c>
      <c r="V14" s="35"/>
      <c r="W14" s="31" t="s">
        <v>40</v>
      </c>
      <c r="X14" s="3"/>
      <c r="Y14" s="332" t="s">
        <v>41</v>
      </c>
      <c r="Z14" s="333"/>
      <c r="AA14" s="334"/>
      <c r="AB14" s="78"/>
    </row>
    <row r="15" spans="1:28" ht="5.0999999999999996" customHeight="1" x14ac:dyDescent="0.25">
      <c r="A15" s="9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78"/>
    </row>
    <row r="16" spans="1:28" ht="34.5" customHeight="1" x14ac:dyDescent="0.25">
      <c r="A16" s="9"/>
      <c r="B16" s="326" t="s">
        <v>42</v>
      </c>
      <c r="C16" s="327"/>
      <c r="D16" s="335"/>
      <c r="E16" s="3"/>
      <c r="F16" s="336" t="str">
        <f>'Tablero de Indicadores'!D17</f>
        <v>(Total de documentos creados y actualizados/Total documentos proyectados)*100</v>
      </c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38"/>
      <c r="R16" s="3"/>
      <c r="S16" s="29" t="s">
        <v>43</v>
      </c>
      <c r="T16" s="3"/>
      <c r="U16" s="30" t="str">
        <f>'Tablero de Indicadores'!K17</f>
        <v>Trimestral</v>
      </c>
      <c r="V16" s="3"/>
      <c r="W16" s="33" t="s">
        <v>44</v>
      </c>
      <c r="X16" s="3"/>
      <c r="Y16" s="25" t="s">
        <v>45</v>
      </c>
      <c r="Z16" s="36"/>
      <c r="AA16" s="25">
        <f>'Tablero de Indicadores'!G17</f>
        <v>0.9</v>
      </c>
      <c r="AB16" s="78"/>
    </row>
    <row r="17" spans="1:28" ht="5.0999999999999996" customHeight="1" x14ac:dyDescent="0.25">
      <c r="A17" s="9"/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79"/>
      <c r="T17" s="3"/>
      <c r="U17" s="3"/>
      <c r="V17" s="3"/>
      <c r="W17" s="35"/>
      <c r="X17" s="3"/>
      <c r="Y17" s="74"/>
      <c r="Z17" s="74"/>
      <c r="AA17" s="74"/>
      <c r="AB17" s="78"/>
    </row>
    <row r="18" spans="1:28" ht="30" customHeight="1" x14ac:dyDescent="0.25">
      <c r="A18" s="9"/>
      <c r="B18" s="320" t="s">
        <v>46</v>
      </c>
      <c r="C18" s="321"/>
      <c r="D18" s="339"/>
      <c r="E18" s="3"/>
      <c r="F18" s="336" t="str">
        <f>'Tablero de Indicadores'!E17</f>
        <v>PORCENTAJE</v>
      </c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8"/>
      <c r="R18" s="3"/>
      <c r="S18" s="29" t="s">
        <v>5</v>
      </c>
      <c r="T18" s="3"/>
      <c r="U18" s="30" t="str">
        <f>'Tablero de Indicadores'!B17</f>
        <v>Efectividad</v>
      </c>
      <c r="V18" s="3"/>
      <c r="W18" s="34" t="s">
        <v>47</v>
      </c>
      <c r="X18" s="3"/>
      <c r="Y18" s="25">
        <f>'Tablero de Indicadores'!H17</f>
        <v>0.8</v>
      </c>
      <c r="Z18" s="36"/>
      <c r="AA18" s="25">
        <f>'Tablero de Indicadores'!I17</f>
        <v>0.7</v>
      </c>
      <c r="AB18" s="78"/>
    </row>
    <row r="19" spans="1:28" ht="4.5" customHeight="1" x14ac:dyDescent="0.25">
      <c r="A19" s="9"/>
      <c r="B19" s="2"/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74"/>
      <c r="Z19" s="74"/>
      <c r="AA19" s="74"/>
      <c r="AB19" s="78"/>
    </row>
    <row r="20" spans="1:28" ht="30" customHeight="1" x14ac:dyDescent="0.25">
      <c r="A20" s="9"/>
      <c r="B20" s="320" t="s">
        <v>48</v>
      </c>
      <c r="C20" s="321"/>
      <c r="D20" s="340"/>
      <c r="E20" s="3"/>
      <c r="F20" s="336" t="str">
        <f>'Tablero de Indicadores'!L17</f>
        <v>Coordinadora Aseguramiento de Calidad y SIG</v>
      </c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Q20" s="338"/>
      <c r="R20" s="3"/>
      <c r="S20" s="28" t="s">
        <v>49</v>
      </c>
      <c r="T20" s="3"/>
      <c r="U20" s="27">
        <f>'Tablero de Indicadores'!H9</f>
        <v>2026</v>
      </c>
      <c r="V20" s="3"/>
      <c r="W20" s="26" t="s">
        <v>50</v>
      </c>
      <c r="X20" s="3"/>
      <c r="Y20" s="25" t="s">
        <v>51</v>
      </c>
      <c r="Z20" s="36"/>
      <c r="AA20" s="25">
        <f>'Tablero de Indicadores'!J17</f>
        <v>0.6</v>
      </c>
      <c r="AB20" s="78"/>
    </row>
    <row r="21" spans="1:28" ht="5.0999999999999996" customHeight="1" thickBot="1" x14ac:dyDescent="0.3">
      <c r="A21" s="11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1"/>
    </row>
    <row r="22" spans="1:28" ht="3.75" customHeight="1" thickBot="1" x14ac:dyDescent="0.3">
      <c r="A22" s="9"/>
      <c r="AB22" s="10"/>
    </row>
    <row r="23" spans="1:28" ht="5.0999999999999996" customHeight="1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8"/>
    </row>
    <row r="24" spans="1:28" ht="33" customHeight="1" x14ac:dyDescent="0.25">
      <c r="A24" s="9"/>
      <c r="B24" s="252" t="s">
        <v>52</v>
      </c>
      <c r="C24" s="253"/>
      <c r="D24" s="254"/>
      <c r="F24" s="23" t="s">
        <v>53</v>
      </c>
      <c r="G24" s="24" t="s">
        <v>54</v>
      </c>
      <c r="H24" s="24" t="s">
        <v>55</v>
      </c>
      <c r="I24" s="24" t="s">
        <v>56</v>
      </c>
      <c r="J24" s="24" t="s">
        <v>57</v>
      </c>
      <c r="K24" s="23" t="s">
        <v>58</v>
      </c>
      <c r="L24" s="24" t="s">
        <v>59</v>
      </c>
      <c r="M24" s="24" t="s">
        <v>60</v>
      </c>
      <c r="N24" s="24" t="s">
        <v>61</v>
      </c>
      <c r="O24" s="24" t="s">
        <v>62</v>
      </c>
      <c r="P24" s="24" t="s">
        <v>63</v>
      </c>
      <c r="Q24" s="23" t="s">
        <v>64</v>
      </c>
      <c r="R24" s="14"/>
      <c r="S24" s="341" t="s">
        <v>88</v>
      </c>
      <c r="T24" s="342"/>
      <c r="U24" s="342"/>
      <c r="V24" s="342"/>
      <c r="W24" s="342"/>
      <c r="X24" s="342"/>
      <c r="Y24" s="342"/>
      <c r="Z24" s="342"/>
      <c r="AA24" s="343"/>
      <c r="AB24" s="10"/>
    </row>
    <row r="25" spans="1:28" ht="5.0999999999999996" customHeight="1" x14ac:dyDescent="0.25">
      <c r="A25" s="9"/>
      <c r="B25" s="15"/>
      <c r="C25" s="15"/>
      <c r="D25" s="15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14"/>
      <c r="S25" s="344"/>
      <c r="T25" s="345"/>
      <c r="U25" s="345"/>
      <c r="V25" s="345"/>
      <c r="W25" s="345"/>
      <c r="X25" s="345"/>
      <c r="Y25" s="345"/>
      <c r="Z25" s="345"/>
      <c r="AA25" s="346"/>
      <c r="AB25" s="10"/>
    </row>
    <row r="26" spans="1:28" ht="13.8" x14ac:dyDescent="0.25">
      <c r="A26" s="9"/>
      <c r="B26" s="264" t="s">
        <v>89</v>
      </c>
      <c r="C26" s="265"/>
      <c r="D26" s="266"/>
      <c r="F26" s="82"/>
      <c r="G26" s="82"/>
      <c r="H26" s="82"/>
      <c r="I26" s="83"/>
      <c r="J26" s="83"/>
      <c r="K26" s="83"/>
      <c r="L26" s="83"/>
      <c r="M26" s="83"/>
      <c r="N26" s="83"/>
      <c r="O26" s="83"/>
      <c r="P26" s="83"/>
      <c r="Q26" s="83"/>
      <c r="R26" s="14"/>
      <c r="S26" s="344"/>
      <c r="T26" s="345"/>
      <c r="U26" s="345"/>
      <c r="V26" s="345"/>
      <c r="W26" s="345"/>
      <c r="X26" s="345"/>
      <c r="Y26" s="345"/>
      <c r="Z26" s="345"/>
      <c r="AA26" s="346"/>
      <c r="AB26" s="10"/>
    </row>
    <row r="27" spans="1:28" ht="13.8" x14ac:dyDescent="0.25">
      <c r="A27" s="9"/>
      <c r="B27" s="267" t="s">
        <v>90</v>
      </c>
      <c r="C27" s="268"/>
      <c r="D27" s="269"/>
      <c r="E27" s="1">
        <v>0</v>
      </c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14"/>
      <c r="S27" s="344"/>
      <c r="T27" s="345"/>
      <c r="U27" s="345"/>
      <c r="V27" s="345"/>
      <c r="W27" s="345"/>
      <c r="X27" s="345"/>
      <c r="Y27" s="345"/>
      <c r="Z27" s="345"/>
      <c r="AA27" s="346"/>
      <c r="AB27" s="10"/>
    </row>
    <row r="28" spans="1:28" ht="5.0999999999999996" customHeight="1" x14ac:dyDescent="0.25">
      <c r="A28" s="9"/>
      <c r="F28" s="17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4"/>
      <c r="S28" s="344"/>
      <c r="T28" s="345"/>
      <c r="U28" s="345"/>
      <c r="V28" s="345"/>
      <c r="W28" s="345"/>
      <c r="X28" s="345"/>
      <c r="Y28" s="345"/>
      <c r="Z28" s="345"/>
      <c r="AA28" s="346"/>
      <c r="AB28" s="10"/>
    </row>
    <row r="29" spans="1:28" ht="15" customHeight="1" x14ac:dyDescent="0.25">
      <c r="A29" s="9"/>
      <c r="B29" s="264" t="s">
        <v>68</v>
      </c>
      <c r="C29" s="265"/>
      <c r="D29" s="266"/>
      <c r="F29" s="5">
        <f>G29</f>
        <v>0.9</v>
      </c>
      <c r="G29" s="5">
        <f t="shared" ref="F29:O31" si="0">H29</f>
        <v>0.9</v>
      </c>
      <c r="H29" s="5">
        <f t="shared" si="0"/>
        <v>0.9</v>
      </c>
      <c r="I29" s="5">
        <f t="shared" si="0"/>
        <v>0.9</v>
      </c>
      <c r="J29" s="5">
        <f t="shared" si="0"/>
        <v>0.9</v>
      </c>
      <c r="K29" s="5">
        <f t="shared" si="0"/>
        <v>0.9</v>
      </c>
      <c r="L29" s="5">
        <f t="shared" si="0"/>
        <v>0.9</v>
      </c>
      <c r="M29" s="5">
        <f t="shared" si="0"/>
        <v>0.9</v>
      </c>
      <c r="N29" s="5">
        <f t="shared" si="0"/>
        <v>0.9</v>
      </c>
      <c r="O29" s="5">
        <f t="shared" si="0"/>
        <v>0.9</v>
      </c>
      <c r="P29" s="5">
        <f>Q29</f>
        <v>0.9</v>
      </c>
      <c r="Q29" s="5">
        <f>AA16</f>
        <v>0.9</v>
      </c>
      <c r="R29" s="14"/>
      <c r="S29" s="344"/>
      <c r="T29" s="345"/>
      <c r="U29" s="345"/>
      <c r="V29" s="345"/>
      <c r="W29" s="345"/>
      <c r="X29" s="345"/>
      <c r="Y29" s="345"/>
      <c r="Z29" s="345"/>
      <c r="AA29" s="346"/>
      <c r="AB29" s="10"/>
    </row>
    <row r="30" spans="1:28" ht="5.0999999999999996" customHeight="1" x14ac:dyDescent="0.25">
      <c r="A30" s="9"/>
      <c r="B30" s="270"/>
      <c r="C30" s="270"/>
      <c r="D30" s="270"/>
      <c r="F30" s="68">
        <f t="shared" si="0"/>
        <v>0</v>
      </c>
      <c r="G30" s="68">
        <f t="shared" si="0"/>
        <v>0</v>
      </c>
      <c r="H30" s="68">
        <f t="shared" si="0"/>
        <v>0</v>
      </c>
      <c r="I30" s="68">
        <f t="shared" si="0"/>
        <v>0</v>
      </c>
      <c r="J30" s="68">
        <f t="shared" si="0"/>
        <v>0</v>
      </c>
      <c r="K30" s="68">
        <f t="shared" si="0"/>
        <v>0</v>
      </c>
      <c r="L30" s="68">
        <f t="shared" si="0"/>
        <v>0</v>
      </c>
      <c r="M30" s="68">
        <f t="shared" si="0"/>
        <v>0</v>
      </c>
      <c r="N30" s="68">
        <f t="shared" si="0"/>
        <v>0</v>
      </c>
      <c r="O30" s="68">
        <f t="shared" si="0"/>
        <v>0</v>
      </c>
      <c r="P30" s="135"/>
      <c r="Q30" s="135"/>
      <c r="R30" s="14"/>
      <c r="S30" s="344"/>
      <c r="T30" s="345"/>
      <c r="U30" s="345"/>
      <c r="V30" s="345"/>
      <c r="W30" s="345"/>
      <c r="X30" s="345"/>
      <c r="Y30" s="345"/>
      <c r="Z30" s="345"/>
      <c r="AA30" s="346"/>
      <c r="AB30" s="10"/>
    </row>
    <row r="31" spans="1:28" ht="15" customHeight="1" x14ac:dyDescent="0.25">
      <c r="A31" s="9"/>
      <c r="B31" s="264" t="s">
        <v>69</v>
      </c>
      <c r="C31" s="265"/>
      <c r="D31" s="266"/>
      <c r="F31" s="5">
        <f t="shared" si="0"/>
        <v>0.6</v>
      </c>
      <c r="G31" s="5">
        <f t="shared" si="0"/>
        <v>0.6</v>
      </c>
      <c r="H31" s="5">
        <f t="shared" si="0"/>
        <v>0.6</v>
      </c>
      <c r="I31" s="5">
        <f t="shared" si="0"/>
        <v>0.6</v>
      </c>
      <c r="J31" s="5">
        <f t="shared" si="0"/>
        <v>0.6</v>
      </c>
      <c r="K31" s="5">
        <f t="shared" si="0"/>
        <v>0.6</v>
      </c>
      <c r="L31" s="5">
        <f t="shared" si="0"/>
        <v>0.6</v>
      </c>
      <c r="M31" s="5">
        <f t="shared" si="0"/>
        <v>0.6</v>
      </c>
      <c r="N31" s="5">
        <f t="shared" si="0"/>
        <v>0.6</v>
      </c>
      <c r="O31" s="5">
        <f t="shared" si="0"/>
        <v>0.6</v>
      </c>
      <c r="P31" s="5">
        <f>Q31</f>
        <v>0.6</v>
      </c>
      <c r="Q31" s="5">
        <f>AA20</f>
        <v>0.6</v>
      </c>
      <c r="R31" s="14"/>
      <c r="S31" s="344"/>
      <c r="T31" s="345"/>
      <c r="U31" s="345"/>
      <c r="V31" s="345"/>
      <c r="W31" s="345"/>
      <c r="X31" s="345"/>
      <c r="Y31" s="345"/>
      <c r="Z31" s="345"/>
      <c r="AA31" s="346"/>
      <c r="AB31" s="10"/>
    </row>
    <row r="32" spans="1:28" ht="5.0999999999999996" customHeight="1" x14ac:dyDescent="0.25">
      <c r="A32" s="9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14"/>
      <c r="S32" s="344"/>
      <c r="T32" s="345"/>
      <c r="U32" s="345"/>
      <c r="V32" s="345"/>
      <c r="W32" s="345"/>
      <c r="X32" s="345"/>
      <c r="Y32" s="345"/>
      <c r="Z32" s="345"/>
      <c r="AA32" s="346"/>
      <c r="AB32" s="10"/>
    </row>
    <row r="33" spans="1:28" ht="13.8" x14ac:dyDescent="0.25">
      <c r="A33" s="9"/>
      <c r="B33" s="271" t="s">
        <v>70</v>
      </c>
      <c r="C33" s="272"/>
      <c r="D33" s="273"/>
      <c r="F33" s="194" t="e">
        <f t="shared" ref="F33:Q33" si="1">F26/F27</f>
        <v>#DIV/0!</v>
      </c>
      <c r="G33" s="194" t="e">
        <f t="shared" si="1"/>
        <v>#DIV/0!</v>
      </c>
      <c r="H33" s="194" t="e">
        <f t="shared" si="1"/>
        <v>#DIV/0!</v>
      </c>
      <c r="I33" s="194" t="e">
        <f t="shared" si="1"/>
        <v>#DIV/0!</v>
      </c>
      <c r="J33" s="194" t="e">
        <f t="shared" si="1"/>
        <v>#DIV/0!</v>
      </c>
      <c r="K33" s="194" t="e">
        <f t="shared" si="1"/>
        <v>#DIV/0!</v>
      </c>
      <c r="L33" s="194" t="e">
        <f t="shared" si="1"/>
        <v>#DIV/0!</v>
      </c>
      <c r="M33" s="194" t="e">
        <f t="shared" si="1"/>
        <v>#DIV/0!</v>
      </c>
      <c r="N33" s="194" t="e">
        <f t="shared" si="1"/>
        <v>#DIV/0!</v>
      </c>
      <c r="O33" s="194" t="e">
        <f t="shared" si="1"/>
        <v>#DIV/0!</v>
      </c>
      <c r="P33" s="194" t="e">
        <f t="shared" si="1"/>
        <v>#DIV/0!</v>
      </c>
      <c r="Q33" s="194" t="e">
        <f t="shared" si="1"/>
        <v>#DIV/0!</v>
      </c>
      <c r="R33" s="14"/>
      <c r="S33" s="347"/>
      <c r="T33" s="348"/>
      <c r="U33" s="348"/>
      <c r="V33" s="348"/>
      <c r="W33" s="348"/>
      <c r="X33" s="348"/>
      <c r="Y33" s="348"/>
      <c r="Z33" s="348"/>
      <c r="AA33" s="349"/>
      <c r="AB33" s="10"/>
    </row>
    <row r="34" spans="1:28" ht="4.5" customHeight="1" x14ac:dyDescent="0.25">
      <c r="A34" s="9"/>
      <c r="F34" s="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0"/>
    </row>
    <row r="35" spans="1:28" ht="345" customHeight="1" x14ac:dyDescent="0.25">
      <c r="A35" s="9"/>
      <c r="B35" s="277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9"/>
      <c r="AB35" s="10"/>
    </row>
    <row r="36" spans="1:28" ht="4.5" customHeight="1" thickBo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3"/>
    </row>
    <row r="37" spans="1:28" ht="4.5" customHeight="1" x14ac:dyDescent="0.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8"/>
    </row>
    <row r="38" spans="1:28" ht="15" customHeight="1" x14ac:dyDescent="0.25">
      <c r="A38" s="9"/>
      <c r="B38" s="280"/>
      <c r="D38" s="70" t="s">
        <v>71</v>
      </c>
      <c r="E38" s="71"/>
      <c r="F38" s="71"/>
      <c r="G38" s="71"/>
      <c r="H38" s="71"/>
      <c r="I38" s="72"/>
      <c r="J38" s="283" t="s">
        <v>72</v>
      </c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5"/>
      <c r="AB38" s="10"/>
    </row>
    <row r="39" spans="1:28" ht="130.5" customHeight="1" x14ac:dyDescent="0.25">
      <c r="A39" s="9"/>
      <c r="B39" s="281"/>
      <c r="C39" s="18"/>
      <c r="D39" s="286"/>
      <c r="E39" s="287"/>
      <c r="F39" s="287"/>
      <c r="G39" s="287"/>
      <c r="H39" s="287"/>
      <c r="I39" s="288"/>
      <c r="J39" s="286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8"/>
      <c r="AB39" s="10"/>
    </row>
    <row r="40" spans="1:28" ht="15" customHeight="1" x14ac:dyDescent="0.25">
      <c r="A40" s="9"/>
      <c r="B40" s="281"/>
      <c r="C40" s="18"/>
      <c r="D40" s="289" t="s">
        <v>73</v>
      </c>
      <c r="E40" s="290"/>
      <c r="F40" s="290"/>
      <c r="G40" s="290"/>
      <c r="H40" s="290"/>
      <c r="I40" s="291"/>
      <c r="J40" s="289" t="s">
        <v>74</v>
      </c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1"/>
      <c r="AB40" s="10"/>
    </row>
    <row r="41" spans="1:28" ht="30" customHeight="1" x14ac:dyDescent="0.25">
      <c r="A41" s="9"/>
      <c r="B41" s="281"/>
      <c r="C41" s="18"/>
      <c r="D41" s="350"/>
      <c r="E41" s="275"/>
      <c r="F41" s="275"/>
      <c r="G41" s="275"/>
      <c r="H41" s="275"/>
      <c r="I41" s="276"/>
      <c r="J41" s="295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7"/>
      <c r="AB41" s="10"/>
    </row>
    <row r="42" spans="1:28" ht="15" customHeight="1" x14ac:dyDescent="0.25">
      <c r="A42" s="9"/>
      <c r="B42" s="281"/>
      <c r="C42" s="18"/>
      <c r="D42" s="304" t="s">
        <v>12</v>
      </c>
      <c r="E42" s="304"/>
      <c r="F42" s="304"/>
      <c r="G42" s="304"/>
      <c r="H42" s="304"/>
      <c r="I42" s="304"/>
      <c r="J42" s="298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300"/>
      <c r="AB42" s="10"/>
    </row>
    <row r="43" spans="1:28" ht="27.75" customHeight="1" x14ac:dyDescent="0.25">
      <c r="A43" s="9"/>
      <c r="B43" s="282"/>
      <c r="C43" s="18"/>
      <c r="D43" s="274" t="s">
        <v>82</v>
      </c>
      <c r="E43" s="275"/>
      <c r="F43" s="275"/>
      <c r="G43" s="275"/>
      <c r="H43" s="275"/>
      <c r="I43" s="276"/>
      <c r="J43" s="301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3"/>
      <c r="AB43" s="10"/>
    </row>
    <row r="44" spans="1:28" ht="5.25" customHeight="1" thickBot="1" x14ac:dyDescent="0.3">
      <c r="A44" s="11"/>
      <c r="B44" s="19"/>
      <c r="C44" s="20"/>
      <c r="D44" s="21"/>
      <c r="E44" s="21"/>
      <c r="F44" s="21"/>
      <c r="G44" s="21"/>
      <c r="H44" s="21"/>
      <c r="I44" s="21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12"/>
      <c r="Y44" s="22"/>
      <c r="Z44" s="22"/>
      <c r="AA44" s="22"/>
      <c r="AB44" s="13"/>
    </row>
    <row r="45" spans="1:28" ht="5.0999999999999996" customHeight="1" x14ac:dyDescent="0.2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8"/>
    </row>
    <row r="46" spans="1:28" ht="4.5" customHeight="1" thickBot="1" x14ac:dyDescent="0.3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3"/>
    </row>
    <row r="47" spans="1:28" ht="13.8" x14ac:dyDescent="0.25"/>
    <row r="48" spans="1:28" ht="12" hidden="1" customHeight="1" x14ac:dyDescent="0.25"/>
    <row r="49" ht="13.8" hidden="1" x14ac:dyDescent="0.25"/>
    <row r="50" ht="13.8" hidden="1" x14ac:dyDescent="0.25"/>
    <row r="51" ht="13.8" hidden="1" x14ac:dyDescent="0.25"/>
    <row r="52" ht="13.8" hidden="1" x14ac:dyDescent="0.25"/>
    <row r="53" ht="13.8" hidden="1" x14ac:dyDescent="0.25"/>
    <row r="54" ht="13.8" hidden="1" x14ac:dyDescent="0.25"/>
    <row r="55" ht="13.8" hidden="1" x14ac:dyDescent="0.25"/>
    <row r="56" ht="13.8" hidden="1" x14ac:dyDescent="0.25"/>
    <row r="57" ht="13.8" hidden="1" x14ac:dyDescent="0.25"/>
    <row r="58" ht="13.8" hidden="1" x14ac:dyDescent="0.25"/>
    <row r="59" ht="13.8" hidden="1" x14ac:dyDescent="0.25"/>
    <row r="60" ht="13.8" hidden="1" x14ac:dyDescent="0.25"/>
    <row r="61" ht="13.8" hidden="1" x14ac:dyDescent="0.25"/>
    <row r="62" ht="13.8" hidden="1" x14ac:dyDescent="0.25"/>
    <row r="63" ht="13.8" hidden="1" x14ac:dyDescent="0.25"/>
    <row r="64" ht="13.8" hidden="1" x14ac:dyDescent="0.25"/>
    <row r="65" ht="13.8" hidden="1" x14ac:dyDescent="0.25"/>
    <row r="66" ht="13.8" hidden="1" x14ac:dyDescent="0.25"/>
    <row r="67" ht="13.8" hidden="1" x14ac:dyDescent="0.25"/>
    <row r="68" ht="13.8" hidden="1" x14ac:dyDescent="0.25"/>
    <row r="69" ht="13.8" hidden="1" x14ac:dyDescent="0.25"/>
    <row r="70" ht="13.8" hidden="1" x14ac:dyDescent="0.25"/>
  </sheetData>
  <mergeCells count="35">
    <mergeCell ref="D43:I43"/>
    <mergeCell ref="B35:AA35"/>
    <mergeCell ref="B38:B43"/>
    <mergeCell ref="J38:AA38"/>
    <mergeCell ref="D39:I39"/>
    <mergeCell ref="J39:AA39"/>
    <mergeCell ref="D40:I40"/>
    <mergeCell ref="J40:AA40"/>
    <mergeCell ref="D41:I41"/>
    <mergeCell ref="J41:AA43"/>
    <mergeCell ref="D42:I42"/>
    <mergeCell ref="B24:D24"/>
    <mergeCell ref="S24:AA33"/>
    <mergeCell ref="B26:D26"/>
    <mergeCell ref="B27:D27"/>
    <mergeCell ref="B29:D29"/>
    <mergeCell ref="B30:D30"/>
    <mergeCell ref="B31:D31"/>
    <mergeCell ref="B33:D33"/>
    <mergeCell ref="B16:D16"/>
    <mergeCell ref="F16:Q16"/>
    <mergeCell ref="B18:D18"/>
    <mergeCell ref="F18:Q18"/>
    <mergeCell ref="B20:D20"/>
    <mergeCell ref="F20:Q20"/>
    <mergeCell ref="A1:AB1"/>
    <mergeCell ref="B12:D12"/>
    <mergeCell ref="F12:AA12"/>
    <mergeCell ref="B14:D14"/>
    <mergeCell ref="F14:Q14"/>
    <mergeCell ref="Y14:AA14"/>
    <mergeCell ref="E3:U8"/>
    <mergeCell ref="W3:W4"/>
    <mergeCell ref="W5:W7"/>
    <mergeCell ref="Y8:AA8"/>
  </mergeCells>
  <conditionalFormatting sqref="F33:Q33">
    <cfRule type="cellIs" dxfId="2" priority="1" stopIfTrue="1" operator="lessThan">
      <formula>$AA$20</formula>
    </cfRule>
    <cfRule type="cellIs" dxfId="1" priority="2" stopIfTrue="1" operator="between">
      <formula>$Y$18</formula>
      <formula>$AA$18</formula>
    </cfRule>
    <cfRule type="cellIs" dxfId="0" priority="3" stopIfTrue="1" operator="greaterThan">
      <formula>$AA$16</formula>
    </cfRule>
  </conditionalFormatting>
  <conditionalFormatting sqref="W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41" right="0.19685039370078741" top="0.19685039370078741" bottom="0.15748031496062992" header="0.15748031496062992" footer="0.11811023622047245"/>
  <pageSetup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140"/>
  <sheetViews>
    <sheetView zoomScale="90" zoomScaleNormal="90" zoomScaleSheetLayoutView="89" workbookViewId="0">
      <selection activeCell="O9" sqref="O9"/>
    </sheetView>
  </sheetViews>
  <sheetFormatPr baseColWidth="10" defaultColWidth="11.44140625" defaultRowHeight="13.2" x14ac:dyDescent="0.25"/>
  <cols>
    <col min="1" max="1" width="2.5546875" style="37" customWidth="1"/>
    <col min="2" max="2" width="12.33203125" style="64" customWidth="1"/>
    <col min="3" max="4" width="13.109375" style="64" customWidth="1"/>
    <col min="5" max="5" width="18.109375" style="64" customWidth="1"/>
    <col min="6" max="6" width="24.109375" style="64" customWidth="1"/>
    <col min="7" max="7" width="18.33203125" style="64" customWidth="1"/>
    <col min="8" max="8" width="11.33203125" style="64" customWidth="1"/>
    <col min="9" max="9" width="13" style="64" customWidth="1"/>
    <col min="10" max="10" width="22.5546875" style="64" customWidth="1"/>
    <col min="11" max="11" width="22.5546875" style="65" customWidth="1"/>
    <col min="12" max="12" width="16.44140625" style="37" customWidth="1"/>
    <col min="13" max="57" width="11.44140625" style="37"/>
    <col min="58" max="256" width="11.44140625" style="41"/>
    <col min="257" max="257" width="2.5546875" style="41" customWidth="1"/>
    <col min="258" max="258" width="12.33203125" style="41" customWidth="1"/>
    <col min="259" max="260" width="13.109375" style="41" customWidth="1"/>
    <col min="261" max="261" width="18.109375" style="41" customWidth="1"/>
    <col min="262" max="262" width="24.109375" style="41" customWidth="1"/>
    <col min="263" max="263" width="18.33203125" style="41" customWidth="1"/>
    <col min="264" max="264" width="11.33203125" style="41" customWidth="1"/>
    <col min="265" max="265" width="13" style="41" customWidth="1"/>
    <col min="266" max="267" width="22.5546875" style="41" customWidth="1"/>
    <col min="268" max="268" width="16.44140625" style="41" customWidth="1"/>
    <col min="269" max="512" width="11.44140625" style="41"/>
    <col min="513" max="513" width="2.5546875" style="41" customWidth="1"/>
    <col min="514" max="514" width="12.33203125" style="41" customWidth="1"/>
    <col min="515" max="516" width="13.109375" style="41" customWidth="1"/>
    <col min="517" max="517" width="18.109375" style="41" customWidth="1"/>
    <col min="518" max="518" width="24.109375" style="41" customWidth="1"/>
    <col min="519" max="519" width="18.33203125" style="41" customWidth="1"/>
    <col min="520" max="520" width="11.33203125" style="41" customWidth="1"/>
    <col min="521" max="521" width="13" style="41" customWidth="1"/>
    <col min="522" max="523" width="22.5546875" style="41" customWidth="1"/>
    <col min="524" max="524" width="16.44140625" style="41" customWidth="1"/>
    <col min="525" max="768" width="11.44140625" style="41"/>
    <col min="769" max="769" width="2.5546875" style="41" customWidth="1"/>
    <col min="770" max="770" width="12.33203125" style="41" customWidth="1"/>
    <col min="771" max="772" width="13.109375" style="41" customWidth="1"/>
    <col min="773" max="773" width="18.109375" style="41" customWidth="1"/>
    <col min="774" max="774" width="24.109375" style="41" customWidth="1"/>
    <col min="775" max="775" width="18.33203125" style="41" customWidth="1"/>
    <col min="776" max="776" width="11.33203125" style="41" customWidth="1"/>
    <col min="777" max="777" width="13" style="41" customWidth="1"/>
    <col min="778" max="779" width="22.5546875" style="41" customWidth="1"/>
    <col min="780" max="780" width="16.44140625" style="41" customWidth="1"/>
    <col min="781" max="1024" width="11.44140625" style="41"/>
    <col min="1025" max="1025" width="2.5546875" style="41" customWidth="1"/>
    <col min="1026" max="1026" width="12.33203125" style="41" customWidth="1"/>
    <col min="1027" max="1028" width="13.109375" style="41" customWidth="1"/>
    <col min="1029" max="1029" width="18.109375" style="41" customWidth="1"/>
    <col min="1030" max="1030" width="24.109375" style="41" customWidth="1"/>
    <col min="1031" max="1031" width="18.33203125" style="41" customWidth="1"/>
    <col min="1032" max="1032" width="11.33203125" style="41" customWidth="1"/>
    <col min="1033" max="1033" width="13" style="41" customWidth="1"/>
    <col min="1034" max="1035" width="22.5546875" style="41" customWidth="1"/>
    <col min="1036" max="1036" width="16.44140625" style="41" customWidth="1"/>
    <col min="1037" max="1280" width="11.44140625" style="41"/>
    <col min="1281" max="1281" width="2.5546875" style="41" customWidth="1"/>
    <col min="1282" max="1282" width="12.33203125" style="41" customWidth="1"/>
    <col min="1283" max="1284" width="13.109375" style="41" customWidth="1"/>
    <col min="1285" max="1285" width="18.109375" style="41" customWidth="1"/>
    <col min="1286" max="1286" width="24.109375" style="41" customWidth="1"/>
    <col min="1287" max="1287" width="18.33203125" style="41" customWidth="1"/>
    <col min="1288" max="1288" width="11.33203125" style="41" customWidth="1"/>
    <col min="1289" max="1289" width="13" style="41" customWidth="1"/>
    <col min="1290" max="1291" width="22.5546875" style="41" customWidth="1"/>
    <col min="1292" max="1292" width="16.44140625" style="41" customWidth="1"/>
    <col min="1293" max="1536" width="11.44140625" style="41"/>
    <col min="1537" max="1537" width="2.5546875" style="41" customWidth="1"/>
    <col min="1538" max="1538" width="12.33203125" style="41" customWidth="1"/>
    <col min="1539" max="1540" width="13.109375" style="41" customWidth="1"/>
    <col min="1541" max="1541" width="18.109375" style="41" customWidth="1"/>
    <col min="1542" max="1542" width="24.109375" style="41" customWidth="1"/>
    <col min="1543" max="1543" width="18.33203125" style="41" customWidth="1"/>
    <col min="1544" max="1544" width="11.33203125" style="41" customWidth="1"/>
    <col min="1545" max="1545" width="13" style="41" customWidth="1"/>
    <col min="1546" max="1547" width="22.5546875" style="41" customWidth="1"/>
    <col min="1548" max="1548" width="16.44140625" style="41" customWidth="1"/>
    <col min="1549" max="1792" width="11.44140625" style="41"/>
    <col min="1793" max="1793" width="2.5546875" style="41" customWidth="1"/>
    <col min="1794" max="1794" width="12.33203125" style="41" customWidth="1"/>
    <col min="1795" max="1796" width="13.109375" style="41" customWidth="1"/>
    <col min="1797" max="1797" width="18.109375" style="41" customWidth="1"/>
    <col min="1798" max="1798" width="24.109375" style="41" customWidth="1"/>
    <col min="1799" max="1799" width="18.33203125" style="41" customWidth="1"/>
    <col min="1800" max="1800" width="11.33203125" style="41" customWidth="1"/>
    <col min="1801" max="1801" width="13" style="41" customWidth="1"/>
    <col min="1802" max="1803" width="22.5546875" style="41" customWidth="1"/>
    <col min="1804" max="1804" width="16.44140625" style="41" customWidth="1"/>
    <col min="1805" max="2048" width="11.44140625" style="41"/>
    <col min="2049" max="2049" width="2.5546875" style="41" customWidth="1"/>
    <col min="2050" max="2050" width="12.33203125" style="41" customWidth="1"/>
    <col min="2051" max="2052" width="13.109375" style="41" customWidth="1"/>
    <col min="2053" max="2053" width="18.109375" style="41" customWidth="1"/>
    <col min="2054" max="2054" width="24.109375" style="41" customWidth="1"/>
    <col min="2055" max="2055" width="18.33203125" style="41" customWidth="1"/>
    <col min="2056" max="2056" width="11.33203125" style="41" customWidth="1"/>
    <col min="2057" max="2057" width="13" style="41" customWidth="1"/>
    <col min="2058" max="2059" width="22.5546875" style="41" customWidth="1"/>
    <col min="2060" max="2060" width="16.44140625" style="41" customWidth="1"/>
    <col min="2061" max="2304" width="11.44140625" style="41"/>
    <col min="2305" max="2305" width="2.5546875" style="41" customWidth="1"/>
    <col min="2306" max="2306" width="12.33203125" style="41" customWidth="1"/>
    <col min="2307" max="2308" width="13.109375" style="41" customWidth="1"/>
    <col min="2309" max="2309" width="18.109375" style="41" customWidth="1"/>
    <col min="2310" max="2310" width="24.109375" style="41" customWidth="1"/>
    <col min="2311" max="2311" width="18.33203125" style="41" customWidth="1"/>
    <col min="2312" max="2312" width="11.33203125" style="41" customWidth="1"/>
    <col min="2313" max="2313" width="13" style="41" customWidth="1"/>
    <col min="2314" max="2315" width="22.5546875" style="41" customWidth="1"/>
    <col min="2316" max="2316" width="16.44140625" style="41" customWidth="1"/>
    <col min="2317" max="2560" width="11.44140625" style="41"/>
    <col min="2561" max="2561" width="2.5546875" style="41" customWidth="1"/>
    <col min="2562" max="2562" width="12.33203125" style="41" customWidth="1"/>
    <col min="2563" max="2564" width="13.109375" style="41" customWidth="1"/>
    <col min="2565" max="2565" width="18.109375" style="41" customWidth="1"/>
    <col min="2566" max="2566" width="24.109375" style="41" customWidth="1"/>
    <col min="2567" max="2567" width="18.33203125" style="41" customWidth="1"/>
    <col min="2568" max="2568" width="11.33203125" style="41" customWidth="1"/>
    <col min="2569" max="2569" width="13" style="41" customWidth="1"/>
    <col min="2570" max="2571" width="22.5546875" style="41" customWidth="1"/>
    <col min="2572" max="2572" width="16.44140625" style="41" customWidth="1"/>
    <col min="2573" max="2816" width="11.44140625" style="41"/>
    <col min="2817" max="2817" width="2.5546875" style="41" customWidth="1"/>
    <col min="2818" max="2818" width="12.33203125" style="41" customWidth="1"/>
    <col min="2819" max="2820" width="13.109375" style="41" customWidth="1"/>
    <col min="2821" max="2821" width="18.109375" style="41" customWidth="1"/>
    <col min="2822" max="2822" width="24.109375" style="41" customWidth="1"/>
    <col min="2823" max="2823" width="18.33203125" style="41" customWidth="1"/>
    <col min="2824" max="2824" width="11.33203125" style="41" customWidth="1"/>
    <col min="2825" max="2825" width="13" style="41" customWidth="1"/>
    <col min="2826" max="2827" width="22.5546875" style="41" customWidth="1"/>
    <col min="2828" max="2828" width="16.44140625" style="41" customWidth="1"/>
    <col min="2829" max="3072" width="11.44140625" style="41"/>
    <col min="3073" max="3073" width="2.5546875" style="41" customWidth="1"/>
    <col min="3074" max="3074" width="12.33203125" style="41" customWidth="1"/>
    <col min="3075" max="3076" width="13.109375" style="41" customWidth="1"/>
    <col min="3077" max="3077" width="18.109375" style="41" customWidth="1"/>
    <col min="3078" max="3078" width="24.109375" style="41" customWidth="1"/>
    <col min="3079" max="3079" width="18.33203125" style="41" customWidth="1"/>
    <col min="3080" max="3080" width="11.33203125" style="41" customWidth="1"/>
    <col min="3081" max="3081" width="13" style="41" customWidth="1"/>
    <col min="3082" max="3083" width="22.5546875" style="41" customWidth="1"/>
    <col min="3084" max="3084" width="16.44140625" style="41" customWidth="1"/>
    <col min="3085" max="3328" width="11.44140625" style="41"/>
    <col min="3329" max="3329" width="2.5546875" style="41" customWidth="1"/>
    <col min="3330" max="3330" width="12.33203125" style="41" customWidth="1"/>
    <col min="3331" max="3332" width="13.109375" style="41" customWidth="1"/>
    <col min="3333" max="3333" width="18.109375" style="41" customWidth="1"/>
    <col min="3334" max="3334" width="24.109375" style="41" customWidth="1"/>
    <col min="3335" max="3335" width="18.33203125" style="41" customWidth="1"/>
    <col min="3336" max="3336" width="11.33203125" style="41" customWidth="1"/>
    <col min="3337" max="3337" width="13" style="41" customWidth="1"/>
    <col min="3338" max="3339" width="22.5546875" style="41" customWidth="1"/>
    <col min="3340" max="3340" width="16.44140625" style="41" customWidth="1"/>
    <col min="3341" max="3584" width="11.44140625" style="41"/>
    <col min="3585" max="3585" width="2.5546875" style="41" customWidth="1"/>
    <col min="3586" max="3586" width="12.33203125" style="41" customWidth="1"/>
    <col min="3587" max="3588" width="13.109375" style="41" customWidth="1"/>
    <col min="3589" max="3589" width="18.109375" style="41" customWidth="1"/>
    <col min="3590" max="3590" width="24.109375" style="41" customWidth="1"/>
    <col min="3591" max="3591" width="18.33203125" style="41" customWidth="1"/>
    <col min="3592" max="3592" width="11.33203125" style="41" customWidth="1"/>
    <col min="3593" max="3593" width="13" style="41" customWidth="1"/>
    <col min="3594" max="3595" width="22.5546875" style="41" customWidth="1"/>
    <col min="3596" max="3596" width="16.44140625" style="41" customWidth="1"/>
    <col min="3597" max="3840" width="11.44140625" style="41"/>
    <col min="3841" max="3841" width="2.5546875" style="41" customWidth="1"/>
    <col min="3842" max="3842" width="12.33203125" style="41" customWidth="1"/>
    <col min="3843" max="3844" width="13.109375" style="41" customWidth="1"/>
    <col min="3845" max="3845" width="18.109375" style="41" customWidth="1"/>
    <col min="3846" max="3846" width="24.109375" style="41" customWidth="1"/>
    <col min="3847" max="3847" width="18.33203125" style="41" customWidth="1"/>
    <col min="3848" max="3848" width="11.33203125" style="41" customWidth="1"/>
    <col min="3849" max="3849" width="13" style="41" customWidth="1"/>
    <col min="3850" max="3851" width="22.5546875" style="41" customWidth="1"/>
    <col min="3852" max="3852" width="16.44140625" style="41" customWidth="1"/>
    <col min="3853" max="4096" width="11.44140625" style="41"/>
    <col min="4097" max="4097" width="2.5546875" style="41" customWidth="1"/>
    <col min="4098" max="4098" width="12.33203125" style="41" customWidth="1"/>
    <col min="4099" max="4100" width="13.109375" style="41" customWidth="1"/>
    <col min="4101" max="4101" width="18.109375" style="41" customWidth="1"/>
    <col min="4102" max="4102" width="24.109375" style="41" customWidth="1"/>
    <col min="4103" max="4103" width="18.33203125" style="41" customWidth="1"/>
    <col min="4104" max="4104" width="11.33203125" style="41" customWidth="1"/>
    <col min="4105" max="4105" width="13" style="41" customWidth="1"/>
    <col min="4106" max="4107" width="22.5546875" style="41" customWidth="1"/>
    <col min="4108" max="4108" width="16.44140625" style="41" customWidth="1"/>
    <col min="4109" max="4352" width="11.44140625" style="41"/>
    <col min="4353" max="4353" width="2.5546875" style="41" customWidth="1"/>
    <col min="4354" max="4354" width="12.33203125" style="41" customWidth="1"/>
    <col min="4355" max="4356" width="13.109375" style="41" customWidth="1"/>
    <col min="4357" max="4357" width="18.109375" style="41" customWidth="1"/>
    <col min="4358" max="4358" width="24.109375" style="41" customWidth="1"/>
    <col min="4359" max="4359" width="18.33203125" style="41" customWidth="1"/>
    <col min="4360" max="4360" width="11.33203125" style="41" customWidth="1"/>
    <col min="4361" max="4361" width="13" style="41" customWidth="1"/>
    <col min="4362" max="4363" width="22.5546875" style="41" customWidth="1"/>
    <col min="4364" max="4364" width="16.44140625" style="41" customWidth="1"/>
    <col min="4365" max="4608" width="11.44140625" style="41"/>
    <col min="4609" max="4609" width="2.5546875" style="41" customWidth="1"/>
    <col min="4610" max="4610" width="12.33203125" style="41" customWidth="1"/>
    <col min="4611" max="4612" width="13.109375" style="41" customWidth="1"/>
    <col min="4613" max="4613" width="18.109375" style="41" customWidth="1"/>
    <col min="4614" max="4614" width="24.109375" style="41" customWidth="1"/>
    <col min="4615" max="4615" width="18.33203125" style="41" customWidth="1"/>
    <col min="4616" max="4616" width="11.33203125" style="41" customWidth="1"/>
    <col min="4617" max="4617" width="13" style="41" customWidth="1"/>
    <col min="4618" max="4619" width="22.5546875" style="41" customWidth="1"/>
    <col min="4620" max="4620" width="16.44140625" style="41" customWidth="1"/>
    <col min="4621" max="4864" width="11.44140625" style="41"/>
    <col min="4865" max="4865" width="2.5546875" style="41" customWidth="1"/>
    <col min="4866" max="4866" width="12.33203125" style="41" customWidth="1"/>
    <col min="4867" max="4868" width="13.109375" style="41" customWidth="1"/>
    <col min="4869" max="4869" width="18.109375" style="41" customWidth="1"/>
    <col min="4870" max="4870" width="24.109375" style="41" customWidth="1"/>
    <col min="4871" max="4871" width="18.33203125" style="41" customWidth="1"/>
    <col min="4872" max="4872" width="11.33203125" style="41" customWidth="1"/>
    <col min="4873" max="4873" width="13" style="41" customWidth="1"/>
    <col min="4874" max="4875" width="22.5546875" style="41" customWidth="1"/>
    <col min="4876" max="4876" width="16.44140625" style="41" customWidth="1"/>
    <col min="4877" max="5120" width="11.44140625" style="41"/>
    <col min="5121" max="5121" width="2.5546875" style="41" customWidth="1"/>
    <col min="5122" max="5122" width="12.33203125" style="41" customWidth="1"/>
    <col min="5123" max="5124" width="13.109375" style="41" customWidth="1"/>
    <col min="5125" max="5125" width="18.109375" style="41" customWidth="1"/>
    <col min="5126" max="5126" width="24.109375" style="41" customWidth="1"/>
    <col min="5127" max="5127" width="18.33203125" style="41" customWidth="1"/>
    <col min="5128" max="5128" width="11.33203125" style="41" customWidth="1"/>
    <col min="5129" max="5129" width="13" style="41" customWidth="1"/>
    <col min="5130" max="5131" width="22.5546875" style="41" customWidth="1"/>
    <col min="5132" max="5132" width="16.44140625" style="41" customWidth="1"/>
    <col min="5133" max="5376" width="11.44140625" style="41"/>
    <col min="5377" max="5377" width="2.5546875" style="41" customWidth="1"/>
    <col min="5378" max="5378" width="12.33203125" style="41" customWidth="1"/>
    <col min="5379" max="5380" width="13.109375" style="41" customWidth="1"/>
    <col min="5381" max="5381" width="18.109375" style="41" customWidth="1"/>
    <col min="5382" max="5382" width="24.109375" style="41" customWidth="1"/>
    <col min="5383" max="5383" width="18.33203125" style="41" customWidth="1"/>
    <col min="5384" max="5384" width="11.33203125" style="41" customWidth="1"/>
    <col min="5385" max="5385" width="13" style="41" customWidth="1"/>
    <col min="5386" max="5387" width="22.5546875" style="41" customWidth="1"/>
    <col min="5388" max="5388" width="16.44140625" style="41" customWidth="1"/>
    <col min="5389" max="5632" width="11.44140625" style="41"/>
    <col min="5633" max="5633" width="2.5546875" style="41" customWidth="1"/>
    <col min="5634" max="5634" width="12.33203125" style="41" customWidth="1"/>
    <col min="5635" max="5636" width="13.109375" style="41" customWidth="1"/>
    <col min="5637" max="5637" width="18.109375" style="41" customWidth="1"/>
    <col min="5638" max="5638" width="24.109375" style="41" customWidth="1"/>
    <col min="5639" max="5639" width="18.33203125" style="41" customWidth="1"/>
    <col min="5640" max="5640" width="11.33203125" style="41" customWidth="1"/>
    <col min="5641" max="5641" width="13" style="41" customWidth="1"/>
    <col min="5642" max="5643" width="22.5546875" style="41" customWidth="1"/>
    <col min="5644" max="5644" width="16.44140625" style="41" customWidth="1"/>
    <col min="5645" max="5888" width="11.44140625" style="41"/>
    <col min="5889" max="5889" width="2.5546875" style="41" customWidth="1"/>
    <col min="5890" max="5890" width="12.33203125" style="41" customWidth="1"/>
    <col min="5891" max="5892" width="13.109375" style="41" customWidth="1"/>
    <col min="5893" max="5893" width="18.109375" style="41" customWidth="1"/>
    <col min="5894" max="5894" width="24.109375" style="41" customWidth="1"/>
    <col min="5895" max="5895" width="18.33203125" style="41" customWidth="1"/>
    <col min="5896" max="5896" width="11.33203125" style="41" customWidth="1"/>
    <col min="5897" max="5897" width="13" style="41" customWidth="1"/>
    <col min="5898" max="5899" width="22.5546875" style="41" customWidth="1"/>
    <col min="5900" max="5900" width="16.44140625" style="41" customWidth="1"/>
    <col min="5901" max="6144" width="11.44140625" style="41"/>
    <col min="6145" max="6145" width="2.5546875" style="41" customWidth="1"/>
    <col min="6146" max="6146" width="12.33203125" style="41" customWidth="1"/>
    <col min="6147" max="6148" width="13.109375" style="41" customWidth="1"/>
    <col min="6149" max="6149" width="18.109375" style="41" customWidth="1"/>
    <col min="6150" max="6150" width="24.109375" style="41" customWidth="1"/>
    <col min="6151" max="6151" width="18.33203125" style="41" customWidth="1"/>
    <col min="6152" max="6152" width="11.33203125" style="41" customWidth="1"/>
    <col min="6153" max="6153" width="13" style="41" customWidth="1"/>
    <col min="6154" max="6155" width="22.5546875" style="41" customWidth="1"/>
    <col min="6156" max="6156" width="16.44140625" style="41" customWidth="1"/>
    <col min="6157" max="6400" width="11.44140625" style="41"/>
    <col min="6401" max="6401" width="2.5546875" style="41" customWidth="1"/>
    <col min="6402" max="6402" width="12.33203125" style="41" customWidth="1"/>
    <col min="6403" max="6404" width="13.109375" style="41" customWidth="1"/>
    <col min="6405" max="6405" width="18.109375" style="41" customWidth="1"/>
    <col min="6406" max="6406" width="24.109375" style="41" customWidth="1"/>
    <col min="6407" max="6407" width="18.33203125" style="41" customWidth="1"/>
    <col min="6408" max="6408" width="11.33203125" style="41" customWidth="1"/>
    <col min="6409" max="6409" width="13" style="41" customWidth="1"/>
    <col min="6410" max="6411" width="22.5546875" style="41" customWidth="1"/>
    <col min="6412" max="6412" width="16.44140625" style="41" customWidth="1"/>
    <col min="6413" max="6656" width="11.44140625" style="41"/>
    <col min="6657" max="6657" width="2.5546875" style="41" customWidth="1"/>
    <col min="6658" max="6658" width="12.33203125" style="41" customWidth="1"/>
    <col min="6659" max="6660" width="13.109375" style="41" customWidth="1"/>
    <col min="6661" max="6661" width="18.109375" style="41" customWidth="1"/>
    <col min="6662" max="6662" width="24.109375" style="41" customWidth="1"/>
    <col min="6663" max="6663" width="18.33203125" style="41" customWidth="1"/>
    <col min="6664" max="6664" width="11.33203125" style="41" customWidth="1"/>
    <col min="6665" max="6665" width="13" style="41" customWidth="1"/>
    <col min="6666" max="6667" width="22.5546875" style="41" customWidth="1"/>
    <col min="6668" max="6668" width="16.44140625" style="41" customWidth="1"/>
    <col min="6669" max="6912" width="11.44140625" style="41"/>
    <col min="6913" max="6913" width="2.5546875" style="41" customWidth="1"/>
    <col min="6914" max="6914" width="12.33203125" style="41" customWidth="1"/>
    <col min="6915" max="6916" width="13.109375" style="41" customWidth="1"/>
    <col min="6917" max="6917" width="18.109375" style="41" customWidth="1"/>
    <col min="6918" max="6918" width="24.109375" style="41" customWidth="1"/>
    <col min="6919" max="6919" width="18.33203125" style="41" customWidth="1"/>
    <col min="6920" max="6920" width="11.33203125" style="41" customWidth="1"/>
    <col min="6921" max="6921" width="13" style="41" customWidth="1"/>
    <col min="6922" max="6923" width="22.5546875" style="41" customWidth="1"/>
    <col min="6924" max="6924" width="16.44140625" style="41" customWidth="1"/>
    <col min="6925" max="7168" width="11.44140625" style="41"/>
    <col min="7169" max="7169" width="2.5546875" style="41" customWidth="1"/>
    <col min="7170" max="7170" width="12.33203125" style="41" customWidth="1"/>
    <col min="7171" max="7172" width="13.109375" style="41" customWidth="1"/>
    <col min="7173" max="7173" width="18.109375" style="41" customWidth="1"/>
    <col min="7174" max="7174" width="24.109375" style="41" customWidth="1"/>
    <col min="7175" max="7175" width="18.33203125" style="41" customWidth="1"/>
    <col min="7176" max="7176" width="11.33203125" style="41" customWidth="1"/>
    <col min="7177" max="7177" width="13" style="41" customWidth="1"/>
    <col min="7178" max="7179" width="22.5546875" style="41" customWidth="1"/>
    <col min="7180" max="7180" width="16.44140625" style="41" customWidth="1"/>
    <col min="7181" max="7424" width="11.44140625" style="41"/>
    <col min="7425" max="7425" width="2.5546875" style="41" customWidth="1"/>
    <col min="7426" max="7426" width="12.33203125" style="41" customWidth="1"/>
    <col min="7427" max="7428" width="13.109375" style="41" customWidth="1"/>
    <col min="7429" max="7429" width="18.109375" style="41" customWidth="1"/>
    <col min="7430" max="7430" width="24.109375" style="41" customWidth="1"/>
    <col min="7431" max="7431" width="18.33203125" style="41" customWidth="1"/>
    <col min="7432" max="7432" width="11.33203125" style="41" customWidth="1"/>
    <col min="7433" max="7433" width="13" style="41" customWidth="1"/>
    <col min="7434" max="7435" width="22.5546875" style="41" customWidth="1"/>
    <col min="7436" max="7436" width="16.44140625" style="41" customWidth="1"/>
    <col min="7437" max="7680" width="11.44140625" style="41"/>
    <col min="7681" max="7681" width="2.5546875" style="41" customWidth="1"/>
    <col min="7682" max="7682" width="12.33203125" style="41" customWidth="1"/>
    <col min="7683" max="7684" width="13.109375" style="41" customWidth="1"/>
    <col min="7685" max="7685" width="18.109375" style="41" customWidth="1"/>
    <col min="7686" max="7686" width="24.109375" style="41" customWidth="1"/>
    <col min="7687" max="7687" width="18.33203125" style="41" customWidth="1"/>
    <col min="7688" max="7688" width="11.33203125" style="41" customWidth="1"/>
    <col min="7689" max="7689" width="13" style="41" customWidth="1"/>
    <col min="7690" max="7691" width="22.5546875" style="41" customWidth="1"/>
    <col min="7692" max="7692" width="16.44140625" style="41" customWidth="1"/>
    <col min="7693" max="7936" width="11.44140625" style="41"/>
    <col min="7937" max="7937" width="2.5546875" style="41" customWidth="1"/>
    <col min="7938" max="7938" width="12.33203125" style="41" customWidth="1"/>
    <col min="7939" max="7940" width="13.109375" style="41" customWidth="1"/>
    <col min="7941" max="7941" width="18.109375" style="41" customWidth="1"/>
    <col min="7942" max="7942" width="24.109375" style="41" customWidth="1"/>
    <col min="7943" max="7943" width="18.33203125" style="41" customWidth="1"/>
    <col min="7944" max="7944" width="11.33203125" style="41" customWidth="1"/>
    <col min="7945" max="7945" width="13" style="41" customWidth="1"/>
    <col min="7946" max="7947" width="22.5546875" style="41" customWidth="1"/>
    <col min="7948" max="7948" width="16.44140625" style="41" customWidth="1"/>
    <col min="7949" max="8192" width="11.44140625" style="41"/>
    <col min="8193" max="8193" width="2.5546875" style="41" customWidth="1"/>
    <col min="8194" max="8194" width="12.33203125" style="41" customWidth="1"/>
    <col min="8195" max="8196" width="13.109375" style="41" customWidth="1"/>
    <col min="8197" max="8197" width="18.109375" style="41" customWidth="1"/>
    <col min="8198" max="8198" width="24.109375" style="41" customWidth="1"/>
    <col min="8199" max="8199" width="18.33203125" style="41" customWidth="1"/>
    <col min="8200" max="8200" width="11.33203125" style="41" customWidth="1"/>
    <col min="8201" max="8201" width="13" style="41" customWidth="1"/>
    <col min="8202" max="8203" width="22.5546875" style="41" customWidth="1"/>
    <col min="8204" max="8204" width="16.44140625" style="41" customWidth="1"/>
    <col min="8205" max="8448" width="11.44140625" style="41"/>
    <col min="8449" max="8449" width="2.5546875" style="41" customWidth="1"/>
    <col min="8450" max="8450" width="12.33203125" style="41" customWidth="1"/>
    <col min="8451" max="8452" width="13.109375" style="41" customWidth="1"/>
    <col min="8453" max="8453" width="18.109375" style="41" customWidth="1"/>
    <col min="8454" max="8454" width="24.109375" style="41" customWidth="1"/>
    <col min="8455" max="8455" width="18.33203125" style="41" customWidth="1"/>
    <col min="8456" max="8456" width="11.33203125" style="41" customWidth="1"/>
    <col min="8457" max="8457" width="13" style="41" customWidth="1"/>
    <col min="8458" max="8459" width="22.5546875" style="41" customWidth="1"/>
    <col min="8460" max="8460" width="16.44140625" style="41" customWidth="1"/>
    <col min="8461" max="8704" width="11.44140625" style="41"/>
    <col min="8705" max="8705" width="2.5546875" style="41" customWidth="1"/>
    <col min="8706" max="8706" width="12.33203125" style="41" customWidth="1"/>
    <col min="8707" max="8708" width="13.109375" style="41" customWidth="1"/>
    <col min="8709" max="8709" width="18.109375" style="41" customWidth="1"/>
    <col min="8710" max="8710" width="24.109375" style="41" customWidth="1"/>
    <col min="8711" max="8711" width="18.33203125" style="41" customWidth="1"/>
    <col min="8712" max="8712" width="11.33203125" style="41" customWidth="1"/>
    <col min="8713" max="8713" width="13" style="41" customWidth="1"/>
    <col min="8714" max="8715" width="22.5546875" style="41" customWidth="1"/>
    <col min="8716" max="8716" width="16.44140625" style="41" customWidth="1"/>
    <col min="8717" max="8960" width="11.44140625" style="41"/>
    <col min="8961" max="8961" width="2.5546875" style="41" customWidth="1"/>
    <col min="8962" max="8962" width="12.33203125" style="41" customWidth="1"/>
    <col min="8963" max="8964" width="13.109375" style="41" customWidth="1"/>
    <col min="8965" max="8965" width="18.109375" style="41" customWidth="1"/>
    <col min="8966" max="8966" width="24.109375" style="41" customWidth="1"/>
    <col min="8967" max="8967" width="18.33203125" style="41" customWidth="1"/>
    <col min="8968" max="8968" width="11.33203125" style="41" customWidth="1"/>
    <col min="8969" max="8969" width="13" style="41" customWidth="1"/>
    <col min="8970" max="8971" width="22.5546875" style="41" customWidth="1"/>
    <col min="8972" max="8972" width="16.44140625" style="41" customWidth="1"/>
    <col min="8973" max="9216" width="11.44140625" style="41"/>
    <col min="9217" max="9217" width="2.5546875" style="41" customWidth="1"/>
    <col min="9218" max="9218" width="12.33203125" style="41" customWidth="1"/>
    <col min="9219" max="9220" width="13.109375" style="41" customWidth="1"/>
    <col min="9221" max="9221" width="18.109375" style="41" customWidth="1"/>
    <col min="9222" max="9222" width="24.109375" style="41" customWidth="1"/>
    <col min="9223" max="9223" width="18.33203125" style="41" customWidth="1"/>
    <col min="9224" max="9224" width="11.33203125" style="41" customWidth="1"/>
    <col min="9225" max="9225" width="13" style="41" customWidth="1"/>
    <col min="9226" max="9227" width="22.5546875" style="41" customWidth="1"/>
    <col min="9228" max="9228" width="16.44140625" style="41" customWidth="1"/>
    <col min="9229" max="9472" width="11.44140625" style="41"/>
    <col min="9473" max="9473" width="2.5546875" style="41" customWidth="1"/>
    <col min="9474" max="9474" width="12.33203125" style="41" customWidth="1"/>
    <col min="9475" max="9476" width="13.109375" style="41" customWidth="1"/>
    <col min="9477" max="9477" width="18.109375" style="41" customWidth="1"/>
    <col min="9478" max="9478" width="24.109375" style="41" customWidth="1"/>
    <col min="9479" max="9479" width="18.33203125" style="41" customWidth="1"/>
    <col min="9480" max="9480" width="11.33203125" style="41" customWidth="1"/>
    <col min="9481" max="9481" width="13" style="41" customWidth="1"/>
    <col min="9482" max="9483" width="22.5546875" style="41" customWidth="1"/>
    <col min="9484" max="9484" width="16.44140625" style="41" customWidth="1"/>
    <col min="9485" max="9728" width="11.44140625" style="41"/>
    <col min="9729" max="9729" width="2.5546875" style="41" customWidth="1"/>
    <col min="9730" max="9730" width="12.33203125" style="41" customWidth="1"/>
    <col min="9731" max="9732" width="13.109375" style="41" customWidth="1"/>
    <col min="9733" max="9733" width="18.109375" style="41" customWidth="1"/>
    <col min="9734" max="9734" width="24.109375" style="41" customWidth="1"/>
    <col min="9735" max="9735" width="18.33203125" style="41" customWidth="1"/>
    <col min="9736" max="9736" width="11.33203125" style="41" customWidth="1"/>
    <col min="9737" max="9737" width="13" style="41" customWidth="1"/>
    <col min="9738" max="9739" width="22.5546875" style="41" customWidth="1"/>
    <col min="9740" max="9740" width="16.44140625" style="41" customWidth="1"/>
    <col min="9741" max="9984" width="11.44140625" style="41"/>
    <col min="9985" max="9985" width="2.5546875" style="41" customWidth="1"/>
    <col min="9986" max="9986" width="12.33203125" style="41" customWidth="1"/>
    <col min="9987" max="9988" width="13.109375" style="41" customWidth="1"/>
    <col min="9989" max="9989" width="18.109375" style="41" customWidth="1"/>
    <col min="9990" max="9990" width="24.109375" style="41" customWidth="1"/>
    <col min="9991" max="9991" width="18.33203125" style="41" customWidth="1"/>
    <col min="9992" max="9992" width="11.33203125" style="41" customWidth="1"/>
    <col min="9993" max="9993" width="13" style="41" customWidth="1"/>
    <col min="9994" max="9995" width="22.5546875" style="41" customWidth="1"/>
    <col min="9996" max="9996" width="16.44140625" style="41" customWidth="1"/>
    <col min="9997" max="10240" width="11.44140625" style="41"/>
    <col min="10241" max="10241" width="2.5546875" style="41" customWidth="1"/>
    <col min="10242" max="10242" width="12.33203125" style="41" customWidth="1"/>
    <col min="10243" max="10244" width="13.109375" style="41" customWidth="1"/>
    <col min="10245" max="10245" width="18.109375" style="41" customWidth="1"/>
    <col min="10246" max="10246" width="24.109375" style="41" customWidth="1"/>
    <col min="10247" max="10247" width="18.33203125" style="41" customWidth="1"/>
    <col min="10248" max="10248" width="11.33203125" style="41" customWidth="1"/>
    <col min="10249" max="10249" width="13" style="41" customWidth="1"/>
    <col min="10250" max="10251" width="22.5546875" style="41" customWidth="1"/>
    <col min="10252" max="10252" width="16.44140625" style="41" customWidth="1"/>
    <col min="10253" max="10496" width="11.44140625" style="41"/>
    <col min="10497" max="10497" width="2.5546875" style="41" customWidth="1"/>
    <col min="10498" max="10498" width="12.33203125" style="41" customWidth="1"/>
    <col min="10499" max="10500" width="13.109375" style="41" customWidth="1"/>
    <col min="10501" max="10501" width="18.109375" style="41" customWidth="1"/>
    <col min="10502" max="10502" width="24.109375" style="41" customWidth="1"/>
    <col min="10503" max="10503" width="18.33203125" style="41" customWidth="1"/>
    <col min="10504" max="10504" width="11.33203125" style="41" customWidth="1"/>
    <col min="10505" max="10505" width="13" style="41" customWidth="1"/>
    <col min="10506" max="10507" width="22.5546875" style="41" customWidth="1"/>
    <col min="10508" max="10508" width="16.44140625" style="41" customWidth="1"/>
    <col min="10509" max="10752" width="11.44140625" style="41"/>
    <col min="10753" max="10753" width="2.5546875" style="41" customWidth="1"/>
    <col min="10754" max="10754" width="12.33203125" style="41" customWidth="1"/>
    <col min="10755" max="10756" width="13.109375" style="41" customWidth="1"/>
    <col min="10757" max="10757" width="18.109375" style="41" customWidth="1"/>
    <col min="10758" max="10758" width="24.109375" style="41" customWidth="1"/>
    <col min="10759" max="10759" width="18.33203125" style="41" customWidth="1"/>
    <col min="10760" max="10760" width="11.33203125" style="41" customWidth="1"/>
    <col min="10761" max="10761" width="13" style="41" customWidth="1"/>
    <col min="10762" max="10763" width="22.5546875" style="41" customWidth="1"/>
    <col min="10764" max="10764" width="16.44140625" style="41" customWidth="1"/>
    <col min="10765" max="11008" width="11.44140625" style="41"/>
    <col min="11009" max="11009" width="2.5546875" style="41" customWidth="1"/>
    <col min="11010" max="11010" width="12.33203125" style="41" customWidth="1"/>
    <col min="11011" max="11012" width="13.109375" style="41" customWidth="1"/>
    <col min="11013" max="11013" width="18.109375" style="41" customWidth="1"/>
    <col min="11014" max="11014" width="24.109375" style="41" customWidth="1"/>
    <col min="11015" max="11015" width="18.33203125" style="41" customWidth="1"/>
    <col min="11016" max="11016" width="11.33203125" style="41" customWidth="1"/>
    <col min="11017" max="11017" width="13" style="41" customWidth="1"/>
    <col min="11018" max="11019" width="22.5546875" style="41" customWidth="1"/>
    <col min="11020" max="11020" width="16.44140625" style="41" customWidth="1"/>
    <col min="11021" max="11264" width="11.44140625" style="41"/>
    <col min="11265" max="11265" width="2.5546875" style="41" customWidth="1"/>
    <col min="11266" max="11266" width="12.33203125" style="41" customWidth="1"/>
    <col min="11267" max="11268" width="13.109375" style="41" customWidth="1"/>
    <col min="11269" max="11269" width="18.109375" style="41" customWidth="1"/>
    <col min="11270" max="11270" width="24.109375" style="41" customWidth="1"/>
    <col min="11271" max="11271" width="18.33203125" style="41" customWidth="1"/>
    <col min="11272" max="11272" width="11.33203125" style="41" customWidth="1"/>
    <col min="11273" max="11273" width="13" style="41" customWidth="1"/>
    <col min="11274" max="11275" width="22.5546875" style="41" customWidth="1"/>
    <col min="11276" max="11276" width="16.44140625" style="41" customWidth="1"/>
    <col min="11277" max="11520" width="11.44140625" style="41"/>
    <col min="11521" max="11521" width="2.5546875" style="41" customWidth="1"/>
    <col min="11522" max="11522" width="12.33203125" style="41" customWidth="1"/>
    <col min="11523" max="11524" width="13.109375" style="41" customWidth="1"/>
    <col min="11525" max="11525" width="18.109375" style="41" customWidth="1"/>
    <col min="11526" max="11526" width="24.109375" style="41" customWidth="1"/>
    <col min="11527" max="11527" width="18.33203125" style="41" customWidth="1"/>
    <col min="11528" max="11528" width="11.33203125" style="41" customWidth="1"/>
    <col min="11529" max="11529" width="13" style="41" customWidth="1"/>
    <col min="11530" max="11531" width="22.5546875" style="41" customWidth="1"/>
    <col min="11532" max="11532" width="16.44140625" style="41" customWidth="1"/>
    <col min="11533" max="11776" width="11.44140625" style="41"/>
    <col min="11777" max="11777" width="2.5546875" style="41" customWidth="1"/>
    <col min="11778" max="11778" width="12.33203125" style="41" customWidth="1"/>
    <col min="11779" max="11780" width="13.109375" style="41" customWidth="1"/>
    <col min="11781" max="11781" width="18.109375" style="41" customWidth="1"/>
    <col min="11782" max="11782" width="24.109375" style="41" customWidth="1"/>
    <col min="11783" max="11783" width="18.33203125" style="41" customWidth="1"/>
    <col min="11784" max="11784" width="11.33203125" style="41" customWidth="1"/>
    <col min="11785" max="11785" width="13" style="41" customWidth="1"/>
    <col min="11786" max="11787" width="22.5546875" style="41" customWidth="1"/>
    <col min="11788" max="11788" width="16.44140625" style="41" customWidth="1"/>
    <col min="11789" max="12032" width="11.44140625" style="41"/>
    <col min="12033" max="12033" width="2.5546875" style="41" customWidth="1"/>
    <col min="12034" max="12034" width="12.33203125" style="41" customWidth="1"/>
    <col min="12035" max="12036" width="13.109375" style="41" customWidth="1"/>
    <col min="12037" max="12037" width="18.109375" style="41" customWidth="1"/>
    <col min="12038" max="12038" width="24.109375" style="41" customWidth="1"/>
    <col min="12039" max="12039" width="18.33203125" style="41" customWidth="1"/>
    <col min="12040" max="12040" width="11.33203125" style="41" customWidth="1"/>
    <col min="12041" max="12041" width="13" style="41" customWidth="1"/>
    <col min="12042" max="12043" width="22.5546875" style="41" customWidth="1"/>
    <col min="12044" max="12044" width="16.44140625" style="41" customWidth="1"/>
    <col min="12045" max="12288" width="11.44140625" style="41"/>
    <col min="12289" max="12289" width="2.5546875" style="41" customWidth="1"/>
    <col min="12290" max="12290" width="12.33203125" style="41" customWidth="1"/>
    <col min="12291" max="12292" width="13.109375" style="41" customWidth="1"/>
    <col min="12293" max="12293" width="18.109375" style="41" customWidth="1"/>
    <col min="12294" max="12294" width="24.109375" style="41" customWidth="1"/>
    <col min="12295" max="12295" width="18.33203125" style="41" customWidth="1"/>
    <col min="12296" max="12296" width="11.33203125" style="41" customWidth="1"/>
    <col min="12297" max="12297" width="13" style="41" customWidth="1"/>
    <col min="12298" max="12299" width="22.5546875" style="41" customWidth="1"/>
    <col min="12300" max="12300" width="16.44140625" style="41" customWidth="1"/>
    <col min="12301" max="12544" width="11.44140625" style="41"/>
    <col min="12545" max="12545" width="2.5546875" style="41" customWidth="1"/>
    <col min="12546" max="12546" width="12.33203125" style="41" customWidth="1"/>
    <col min="12547" max="12548" width="13.109375" style="41" customWidth="1"/>
    <col min="12549" max="12549" width="18.109375" style="41" customWidth="1"/>
    <col min="12550" max="12550" width="24.109375" style="41" customWidth="1"/>
    <col min="12551" max="12551" width="18.33203125" style="41" customWidth="1"/>
    <col min="12552" max="12552" width="11.33203125" style="41" customWidth="1"/>
    <col min="12553" max="12553" width="13" style="41" customWidth="1"/>
    <col min="12554" max="12555" width="22.5546875" style="41" customWidth="1"/>
    <col min="12556" max="12556" width="16.44140625" style="41" customWidth="1"/>
    <col min="12557" max="12800" width="11.44140625" style="41"/>
    <col min="12801" max="12801" width="2.5546875" style="41" customWidth="1"/>
    <col min="12802" max="12802" width="12.33203125" style="41" customWidth="1"/>
    <col min="12803" max="12804" width="13.109375" style="41" customWidth="1"/>
    <col min="12805" max="12805" width="18.109375" style="41" customWidth="1"/>
    <col min="12806" max="12806" width="24.109375" style="41" customWidth="1"/>
    <col min="12807" max="12807" width="18.33203125" style="41" customWidth="1"/>
    <col min="12808" max="12808" width="11.33203125" style="41" customWidth="1"/>
    <col min="12809" max="12809" width="13" style="41" customWidth="1"/>
    <col min="12810" max="12811" width="22.5546875" style="41" customWidth="1"/>
    <col min="12812" max="12812" width="16.44140625" style="41" customWidth="1"/>
    <col min="12813" max="13056" width="11.44140625" style="41"/>
    <col min="13057" max="13057" width="2.5546875" style="41" customWidth="1"/>
    <col min="13058" max="13058" width="12.33203125" style="41" customWidth="1"/>
    <col min="13059" max="13060" width="13.109375" style="41" customWidth="1"/>
    <col min="13061" max="13061" width="18.109375" style="41" customWidth="1"/>
    <col min="13062" max="13062" width="24.109375" style="41" customWidth="1"/>
    <col min="13063" max="13063" width="18.33203125" style="41" customWidth="1"/>
    <col min="13064" max="13064" width="11.33203125" style="41" customWidth="1"/>
    <col min="13065" max="13065" width="13" style="41" customWidth="1"/>
    <col min="13066" max="13067" width="22.5546875" style="41" customWidth="1"/>
    <col min="13068" max="13068" width="16.44140625" style="41" customWidth="1"/>
    <col min="13069" max="13312" width="11.44140625" style="41"/>
    <col min="13313" max="13313" width="2.5546875" style="41" customWidth="1"/>
    <col min="13314" max="13314" width="12.33203125" style="41" customWidth="1"/>
    <col min="13315" max="13316" width="13.109375" style="41" customWidth="1"/>
    <col min="13317" max="13317" width="18.109375" style="41" customWidth="1"/>
    <col min="13318" max="13318" width="24.109375" style="41" customWidth="1"/>
    <col min="13319" max="13319" width="18.33203125" style="41" customWidth="1"/>
    <col min="13320" max="13320" width="11.33203125" style="41" customWidth="1"/>
    <col min="13321" max="13321" width="13" style="41" customWidth="1"/>
    <col min="13322" max="13323" width="22.5546875" style="41" customWidth="1"/>
    <col min="13324" max="13324" width="16.44140625" style="41" customWidth="1"/>
    <col min="13325" max="13568" width="11.44140625" style="41"/>
    <col min="13569" max="13569" width="2.5546875" style="41" customWidth="1"/>
    <col min="13570" max="13570" width="12.33203125" style="41" customWidth="1"/>
    <col min="13571" max="13572" width="13.109375" style="41" customWidth="1"/>
    <col min="13573" max="13573" width="18.109375" style="41" customWidth="1"/>
    <col min="13574" max="13574" width="24.109375" style="41" customWidth="1"/>
    <col min="13575" max="13575" width="18.33203125" style="41" customWidth="1"/>
    <col min="13576" max="13576" width="11.33203125" style="41" customWidth="1"/>
    <col min="13577" max="13577" width="13" style="41" customWidth="1"/>
    <col min="13578" max="13579" width="22.5546875" style="41" customWidth="1"/>
    <col min="13580" max="13580" width="16.44140625" style="41" customWidth="1"/>
    <col min="13581" max="13824" width="11.44140625" style="41"/>
    <col min="13825" max="13825" width="2.5546875" style="41" customWidth="1"/>
    <col min="13826" max="13826" width="12.33203125" style="41" customWidth="1"/>
    <col min="13827" max="13828" width="13.109375" style="41" customWidth="1"/>
    <col min="13829" max="13829" width="18.109375" style="41" customWidth="1"/>
    <col min="13830" max="13830" width="24.109375" style="41" customWidth="1"/>
    <col min="13831" max="13831" width="18.33203125" style="41" customWidth="1"/>
    <col min="13832" max="13832" width="11.33203125" style="41" customWidth="1"/>
    <col min="13833" max="13833" width="13" style="41" customWidth="1"/>
    <col min="13834" max="13835" width="22.5546875" style="41" customWidth="1"/>
    <col min="13836" max="13836" width="16.44140625" style="41" customWidth="1"/>
    <col min="13837" max="14080" width="11.44140625" style="41"/>
    <col min="14081" max="14081" width="2.5546875" style="41" customWidth="1"/>
    <col min="14082" max="14082" width="12.33203125" style="41" customWidth="1"/>
    <col min="14083" max="14084" width="13.109375" style="41" customWidth="1"/>
    <col min="14085" max="14085" width="18.109375" style="41" customWidth="1"/>
    <col min="14086" max="14086" width="24.109375" style="41" customWidth="1"/>
    <col min="14087" max="14087" width="18.33203125" style="41" customWidth="1"/>
    <col min="14088" max="14088" width="11.33203125" style="41" customWidth="1"/>
    <col min="14089" max="14089" width="13" style="41" customWidth="1"/>
    <col min="14090" max="14091" width="22.5546875" style="41" customWidth="1"/>
    <col min="14092" max="14092" width="16.44140625" style="41" customWidth="1"/>
    <col min="14093" max="14336" width="11.44140625" style="41"/>
    <col min="14337" max="14337" width="2.5546875" style="41" customWidth="1"/>
    <col min="14338" max="14338" width="12.33203125" style="41" customWidth="1"/>
    <col min="14339" max="14340" width="13.109375" style="41" customWidth="1"/>
    <col min="14341" max="14341" width="18.109375" style="41" customWidth="1"/>
    <col min="14342" max="14342" width="24.109375" style="41" customWidth="1"/>
    <col min="14343" max="14343" width="18.33203125" style="41" customWidth="1"/>
    <col min="14344" max="14344" width="11.33203125" style="41" customWidth="1"/>
    <col min="14345" max="14345" width="13" style="41" customWidth="1"/>
    <col min="14346" max="14347" width="22.5546875" style="41" customWidth="1"/>
    <col min="14348" max="14348" width="16.44140625" style="41" customWidth="1"/>
    <col min="14349" max="14592" width="11.44140625" style="41"/>
    <col min="14593" max="14593" width="2.5546875" style="41" customWidth="1"/>
    <col min="14594" max="14594" width="12.33203125" style="41" customWidth="1"/>
    <col min="14595" max="14596" width="13.109375" style="41" customWidth="1"/>
    <col min="14597" max="14597" width="18.109375" style="41" customWidth="1"/>
    <col min="14598" max="14598" width="24.109375" style="41" customWidth="1"/>
    <col min="14599" max="14599" width="18.33203125" style="41" customWidth="1"/>
    <col min="14600" max="14600" width="11.33203125" style="41" customWidth="1"/>
    <col min="14601" max="14601" width="13" style="41" customWidth="1"/>
    <col min="14602" max="14603" width="22.5546875" style="41" customWidth="1"/>
    <col min="14604" max="14604" width="16.44140625" style="41" customWidth="1"/>
    <col min="14605" max="14848" width="11.44140625" style="41"/>
    <col min="14849" max="14849" width="2.5546875" style="41" customWidth="1"/>
    <col min="14850" max="14850" width="12.33203125" style="41" customWidth="1"/>
    <col min="14851" max="14852" width="13.109375" style="41" customWidth="1"/>
    <col min="14853" max="14853" width="18.109375" style="41" customWidth="1"/>
    <col min="14854" max="14854" width="24.109375" style="41" customWidth="1"/>
    <col min="14855" max="14855" width="18.33203125" style="41" customWidth="1"/>
    <col min="14856" max="14856" width="11.33203125" style="41" customWidth="1"/>
    <col min="14857" max="14857" width="13" style="41" customWidth="1"/>
    <col min="14858" max="14859" width="22.5546875" style="41" customWidth="1"/>
    <col min="14860" max="14860" width="16.44140625" style="41" customWidth="1"/>
    <col min="14861" max="15104" width="11.44140625" style="41"/>
    <col min="15105" max="15105" width="2.5546875" style="41" customWidth="1"/>
    <col min="15106" max="15106" width="12.33203125" style="41" customWidth="1"/>
    <col min="15107" max="15108" width="13.109375" style="41" customWidth="1"/>
    <col min="15109" max="15109" width="18.109375" style="41" customWidth="1"/>
    <col min="15110" max="15110" width="24.109375" style="41" customWidth="1"/>
    <col min="15111" max="15111" width="18.33203125" style="41" customWidth="1"/>
    <col min="15112" max="15112" width="11.33203125" style="41" customWidth="1"/>
    <col min="15113" max="15113" width="13" style="41" customWidth="1"/>
    <col min="15114" max="15115" width="22.5546875" style="41" customWidth="1"/>
    <col min="15116" max="15116" width="16.44140625" style="41" customWidth="1"/>
    <col min="15117" max="15360" width="11.44140625" style="41"/>
    <col min="15361" max="15361" width="2.5546875" style="41" customWidth="1"/>
    <col min="15362" max="15362" width="12.33203125" style="41" customWidth="1"/>
    <col min="15363" max="15364" width="13.109375" style="41" customWidth="1"/>
    <col min="15365" max="15365" width="18.109375" style="41" customWidth="1"/>
    <col min="15366" max="15366" width="24.109375" style="41" customWidth="1"/>
    <col min="15367" max="15367" width="18.33203125" style="41" customWidth="1"/>
    <col min="15368" max="15368" width="11.33203125" style="41" customWidth="1"/>
    <col min="15369" max="15369" width="13" style="41" customWidth="1"/>
    <col min="15370" max="15371" width="22.5546875" style="41" customWidth="1"/>
    <col min="15372" max="15372" width="16.44140625" style="41" customWidth="1"/>
    <col min="15373" max="15616" width="11.44140625" style="41"/>
    <col min="15617" max="15617" width="2.5546875" style="41" customWidth="1"/>
    <col min="15618" max="15618" width="12.33203125" style="41" customWidth="1"/>
    <col min="15619" max="15620" width="13.109375" style="41" customWidth="1"/>
    <col min="15621" max="15621" width="18.109375" style="41" customWidth="1"/>
    <col min="15622" max="15622" width="24.109375" style="41" customWidth="1"/>
    <col min="15623" max="15623" width="18.33203125" style="41" customWidth="1"/>
    <col min="15624" max="15624" width="11.33203125" style="41" customWidth="1"/>
    <col min="15625" max="15625" width="13" style="41" customWidth="1"/>
    <col min="15626" max="15627" width="22.5546875" style="41" customWidth="1"/>
    <col min="15628" max="15628" width="16.44140625" style="41" customWidth="1"/>
    <col min="15629" max="15872" width="11.44140625" style="41"/>
    <col min="15873" max="15873" width="2.5546875" style="41" customWidth="1"/>
    <col min="15874" max="15874" width="12.33203125" style="41" customWidth="1"/>
    <col min="15875" max="15876" width="13.109375" style="41" customWidth="1"/>
    <col min="15877" max="15877" width="18.109375" style="41" customWidth="1"/>
    <col min="15878" max="15878" width="24.109375" style="41" customWidth="1"/>
    <col min="15879" max="15879" width="18.33203125" style="41" customWidth="1"/>
    <col min="15880" max="15880" width="11.33203125" style="41" customWidth="1"/>
    <col min="15881" max="15881" width="13" style="41" customWidth="1"/>
    <col min="15882" max="15883" width="22.5546875" style="41" customWidth="1"/>
    <col min="15884" max="15884" width="16.44140625" style="41" customWidth="1"/>
    <col min="15885" max="16128" width="11.44140625" style="41"/>
    <col min="16129" max="16129" width="2.5546875" style="41" customWidth="1"/>
    <col min="16130" max="16130" width="12.33203125" style="41" customWidth="1"/>
    <col min="16131" max="16132" width="13.109375" style="41" customWidth="1"/>
    <col min="16133" max="16133" width="18.109375" style="41" customWidth="1"/>
    <col min="16134" max="16134" width="24.109375" style="41" customWidth="1"/>
    <col min="16135" max="16135" width="18.33203125" style="41" customWidth="1"/>
    <col min="16136" max="16136" width="11.33203125" style="41" customWidth="1"/>
    <col min="16137" max="16137" width="13" style="41" customWidth="1"/>
    <col min="16138" max="16139" width="22.5546875" style="41" customWidth="1"/>
    <col min="16140" max="16140" width="16.44140625" style="41" customWidth="1"/>
    <col min="16141" max="16384" width="11.44140625" style="41"/>
  </cols>
  <sheetData>
    <row r="1" spans="2:14" s="37" customFormat="1" ht="13.8" thickBot="1" x14ac:dyDescent="0.3"/>
    <row r="2" spans="2:14" ht="27.75" customHeight="1" x14ac:dyDescent="0.25">
      <c r="B2" s="354"/>
      <c r="C2" s="355"/>
      <c r="D2" s="360" t="s">
        <v>91</v>
      </c>
      <c r="E2" s="361"/>
      <c r="F2" s="361"/>
      <c r="G2" s="361"/>
      <c r="H2" s="361"/>
      <c r="I2" s="361"/>
      <c r="J2" s="361"/>
      <c r="K2" s="38" t="s">
        <v>92</v>
      </c>
      <c r="L2" s="39"/>
      <c r="M2" s="40"/>
      <c r="N2" s="40"/>
    </row>
    <row r="3" spans="2:14" ht="27.75" customHeight="1" x14ac:dyDescent="0.25">
      <c r="B3" s="356"/>
      <c r="C3" s="357"/>
      <c r="D3" s="362"/>
      <c r="E3" s="363"/>
      <c r="F3" s="363"/>
      <c r="G3" s="363"/>
      <c r="H3" s="363"/>
      <c r="I3" s="363"/>
      <c r="J3" s="363"/>
      <c r="K3" s="42" t="s">
        <v>93</v>
      </c>
      <c r="L3" s="43"/>
      <c r="M3" s="40"/>
      <c r="N3" s="40"/>
    </row>
    <row r="4" spans="2:14" ht="27.75" customHeight="1" x14ac:dyDescent="0.25">
      <c r="B4" s="356"/>
      <c r="C4" s="357"/>
      <c r="D4" s="362"/>
      <c r="E4" s="363"/>
      <c r="F4" s="363"/>
      <c r="G4" s="363"/>
      <c r="H4" s="363"/>
      <c r="I4" s="363"/>
      <c r="J4" s="363"/>
      <c r="K4" s="42" t="s">
        <v>94</v>
      </c>
      <c r="L4" s="44"/>
      <c r="M4" s="40"/>
      <c r="N4" s="40"/>
    </row>
    <row r="5" spans="2:14" ht="27.75" customHeight="1" thickBot="1" x14ac:dyDescent="0.3">
      <c r="B5" s="358"/>
      <c r="C5" s="359"/>
      <c r="D5" s="364"/>
      <c r="E5" s="365"/>
      <c r="F5" s="365"/>
      <c r="G5" s="365"/>
      <c r="H5" s="365"/>
      <c r="I5" s="365"/>
      <c r="J5" s="365"/>
      <c r="K5" s="45" t="s">
        <v>95</v>
      </c>
      <c r="L5" s="46"/>
    </row>
    <row r="6" spans="2:14" ht="13.8" thickBot="1" x14ac:dyDescent="0.3">
      <c r="B6" s="366"/>
      <c r="C6" s="367"/>
      <c r="D6" s="367"/>
      <c r="E6" s="367"/>
      <c r="F6" s="367"/>
      <c r="G6" s="367"/>
      <c r="H6" s="367"/>
      <c r="I6" s="367"/>
      <c r="J6" s="367"/>
      <c r="K6" s="367"/>
      <c r="L6" s="47"/>
      <c r="M6" s="40"/>
      <c r="N6" s="40"/>
    </row>
    <row r="7" spans="2:14" ht="23.25" customHeight="1" thickBot="1" x14ac:dyDescent="0.3">
      <c r="B7" s="368" t="s">
        <v>96</v>
      </c>
      <c r="C7" s="369"/>
      <c r="D7" s="369"/>
      <c r="E7" s="369"/>
      <c r="F7" s="369"/>
      <c r="G7" s="369"/>
      <c r="H7" s="369"/>
      <c r="I7" s="369"/>
      <c r="J7" s="369"/>
      <c r="K7" s="369"/>
      <c r="L7" s="48"/>
      <c r="M7" s="49"/>
      <c r="N7" s="49"/>
    </row>
    <row r="8" spans="2:14" ht="36.75" customHeight="1" x14ac:dyDescent="0.25">
      <c r="B8" s="370" t="s">
        <v>97</v>
      </c>
      <c r="C8" s="371"/>
      <c r="D8" s="372" t="str">
        <f>'Tablero de Indicadores'!C20</f>
        <v>CONFORMIDAD MUESTRAS MICROBIOLOGICAS</v>
      </c>
      <c r="E8" s="373"/>
      <c r="F8" s="117" t="s">
        <v>98</v>
      </c>
      <c r="G8" s="374" t="s">
        <v>99</v>
      </c>
      <c r="H8" s="375"/>
      <c r="I8" s="376"/>
      <c r="J8" s="117" t="s">
        <v>100</v>
      </c>
      <c r="K8" s="377"/>
      <c r="L8" s="378"/>
      <c r="M8" s="49"/>
      <c r="N8" s="49"/>
    </row>
    <row r="9" spans="2:14" ht="36.75" customHeight="1" x14ac:dyDescent="0.25">
      <c r="B9" s="380" t="s">
        <v>101</v>
      </c>
      <c r="C9" s="381"/>
      <c r="D9" s="382" t="str">
        <f>'Tablero de Indicadores'!D20</f>
        <v>(Total muestras conformes/Total muestras realizadas) x 100</v>
      </c>
      <c r="E9" s="383"/>
      <c r="F9" s="118" t="s">
        <v>9</v>
      </c>
      <c r="G9" s="384">
        <f>'Tablero de Indicadores'!F13</f>
        <v>0.9</v>
      </c>
      <c r="H9" s="385"/>
      <c r="I9" s="386"/>
      <c r="J9" s="119" t="s">
        <v>102</v>
      </c>
      <c r="K9" s="407"/>
      <c r="L9" s="408"/>
    </row>
    <row r="10" spans="2:14" ht="36.75" customHeight="1" x14ac:dyDescent="0.25">
      <c r="B10" s="380" t="s">
        <v>103</v>
      </c>
      <c r="C10" s="387"/>
      <c r="D10" s="382" t="s">
        <v>127</v>
      </c>
      <c r="E10" s="388"/>
      <c r="F10" s="118" t="s">
        <v>104</v>
      </c>
      <c r="G10" s="389" t="str">
        <f>'Tablero de Indicadores'!C9</f>
        <v>ASEGURAMIENTO DE CALIDAD</v>
      </c>
      <c r="H10" s="389"/>
      <c r="I10" s="389"/>
      <c r="J10" s="118" t="s">
        <v>105</v>
      </c>
      <c r="K10" s="405" t="str">
        <f>'Tablero de Indicadores'!E13</f>
        <v>PORCENTAJE</v>
      </c>
      <c r="L10" s="406"/>
    </row>
    <row r="11" spans="2:14" ht="18.75" customHeight="1" x14ac:dyDescent="0.25">
      <c r="B11" s="390" t="s">
        <v>106</v>
      </c>
      <c r="C11" s="391"/>
      <c r="D11" s="394" t="s">
        <v>107</v>
      </c>
      <c r="E11" s="395"/>
      <c r="F11" s="398" t="s">
        <v>108</v>
      </c>
      <c r="G11" s="400" t="s">
        <v>109</v>
      </c>
      <c r="H11" s="400"/>
      <c r="I11" s="400"/>
      <c r="J11" s="398" t="s">
        <v>110</v>
      </c>
      <c r="K11" s="401" t="str">
        <f>'Tablero de Indicadores'!L13</f>
        <v>Coordinadora Aseguramiento de Calidad y SIG</v>
      </c>
      <c r="L11" s="402"/>
    </row>
    <row r="12" spans="2:14" ht="18.75" customHeight="1" thickBot="1" x14ac:dyDescent="0.3">
      <c r="B12" s="392"/>
      <c r="C12" s="393"/>
      <c r="D12" s="396"/>
      <c r="E12" s="397"/>
      <c r="F12" s="399"/>
      <c r="G12" s="379" t="s">
        <v>111</v>
      </c>
      <c r="H12" s="379"/>
      <c r="I12" s="379"/>
      <c r="J12" s="399"/>
      <c r="K12" s="403"/>
      <c r="L12" s="404"/>
    </row>
    <row r="13" spans="2:14" ht="21.75" customHeight="1" thickBot="1" x14ac:dyDescent="0.3">
      <c r="B13" s="411" t="s">
        <v>112</v>
      </c>
      <c r="C13" s="412"/>
      <c r="D13" s="412"/>
      <c r="E13" s="412"/>
      <c r="F13" s="412"/>
      <c r="G13" s="412"/>
      <c r="H13" s="412"/>
      <c r="I13" s="412"/>
      <c r="J13" s="412"/>
      <c r="K13" s="412"/>
      <c r="L13" s="50"/>
    </row>
    <row r="14" spans="2:14" ht="13.8" thickBot="1" x14ac:dyDescent="0.3">
      <c r="B14" s="413"/>
      <c r="C14" s="414"/>
      <c r="D14" s="414"/>
      <c r="E14" s="414"/>
      <c r="F14" s="414"/>
      <c r="G14" s="414"/>
      <c r="H14" s="414"/>
      <c r="I14" s="414"/>
      <c r="J14" s="414"/>
      <c r="K14" s="414"/>
      <c r="L14" s="51"/>
    </row>
    <row r="15" spans="2:14" ht="36" customHeight="1" thickBot="1" x14ac:dyDescent="0.3">
      <c r="B15" s="109" t="s">
        <v>113</v>
      </c>
      <c r="C15" s="110" t="s">
        <v>114</v>
      </c>
      <c r="D15" s="110" t="s">
        <v>115</v>
      </c>
      <c r="E15" s="110" t="s">
        <v>116</v>
      </c>
      <c r="F15" s="110" t="s">
        <v>9</v>
      </c>
      <c r="G15" s="415" t="s">
        <v>117</v>
      </c>
      <c r="H15" s="416"/>
      <c r="I15" s="417"/>
      <c r="J15" s="418"/>
      <c r="K15" s="418"/>
      <c r="L15" s="52"/>
    </row>
    <row r="16" spans="2:14" ht="30.75" customHeight="1" thickBot="1" x14ac:dyDescent="0.3">
      <c r="B16" s="111" t="str">
        <f>'IND ESTADO SANITARIO'!F24</f>
        <v>Enero</v>
      </c>
      <c r="C16" s="112">
        <f>'IND ESTADO SANITARIO'!F26</f>
        <v>0</v>
      </c>
      <c r="D16" s="112">
        <f>'IND ESTADO SANITARIO'!F27</f>
        <v>0</v>
      </c>
      <c r="E16" s="113" t="e">
        <f>'IND ESTADO SANITARIO'!$F$33</f>
        <v>#DIV/0!</v>
      </c>
      <c r="F16" s="113">
        <f>'IND ESTADO SANITARIO'!$U$14</f>
        <v>0.9</v>
      </c>
      <c r="G16" s="421"/>
      <c r="H16" s="422"/>
      <c r="I16" s="419"/>
      <c r="J16" s="419"/>
      <c r="K16" s="419"/>
      <c r="L16" s="53"/>
    </row>
    <row r="17" spans="2:12" ht="30.75" customHeight="1" thickBot="1" x14ac:dyDescent="0.3">
      <c r="B17" s="114" t="str">
        <f>'IND ESTADO SANITARIO'!G24</f>
        <v>Febrero</v>
      </c>
      <c r="C17" s="115">
        <f>'IND ESTADO SANITARIO'!G26</f>
        <v>0</v>
      </c>
      <c r="D17" s="115">
        <f>'IND ESTADO SANITARIO'!G27</f>
        <v>0</v>
      </c>
      <c r="E17" s="113" t="e">
        <f>'IND ESTADO SANITARIO'!$G$33</f>
        <v>#DIV/0!</v>
      </c>
      <c r="F17" s="113">
        <f>'IND ESTADO SANITARIO'!$U$14</f>
        <v>0.9</v>
      </c>
      <c r="G17" s="423"/>
      <c r="H17" s="424"/>
      <c r="I17" s="419"/>
      <c r="J17" s="419"/>
      <c r="K17" s="419"/>
      <c r="L17" s="53"/>
    </row>
    <row r="18" spans="2:12" ht="30.75" customHeight="1" thickBot="1" x14ac:dyDescent="0.3">
      <c r="B18" s="114" t="str">
        <f>'IND ESTADO SANITARIO'!H24</f>
        <v>Marzo</v>
      </c>
      <c r="C18" s="115">
        <f>'IND ESTADO SANITARIO'!H26</f>
        <v>0</v>
      </c>
      <c r="D18" s="115">
        <f>'IND ESTADO SANITARIO'!H27</f>
        <v>0</v>
      </c>
      <c r="E18" s="113" t="e">
        <f>'IND ESTADO SANITARIO'!$H$33</f>
        <v>#DIV/0!</v>
      </c>
      <c r="F18" s="113">
        <f>'IND ESTADO SANITARIO'!$U$14</f>
        <v>0.9</v>
      </c>
      <c r="G18" s="423"/>
      <c r="H18" s="424"/>
      <c r="I18" s="419"/>
      <c r="J18" s="419"/>
      <c r="K18" s="419"/>
      <c r="L18" s="53"/>
    </row>
    <row r="19" spans="2:12" ht="30.75" customHeight="1" thickBot="1" x14ac:dyDescent="0.3">
      <c r="B19" s="114" t="str">
        <f>'IND ESTADO SANITARIO'!I24</f>
        <v>Abril</v>
      </c>
      <c r="C19" s="115">
        <f>'IND ESTADO SANITARIO'!I26</f>
        <v>0</v>
      </c>
      <c r="D19" s="115">
        <f>'IND ESTADO SANITARIO'!I27</f>
        <v>0</v>
      </c>
      <c r="E19" s="113" t="e">
        <f>'IND ESTADO SANITARIO'!$I$33</f>
        <v>#DIV/0!</v>
      </c>
      <c r="F19" s="113">
        <f>'IND ESTADO SANITARIO'!$U$14</f>
        <v>0.9</v>
      </c>
      <c r="G19" s="423"/>
      <c r="H19" s="424"/>
      <c r="I19" s="419"/>
      <c r="J19" s="419"/>
      <c r="K19" s="419"/>
      <c r="L19" s="53"/>
    </row>
    <row r="20" spans="2:12" ht="30.75" customHeight="1" thickBot="1" x14ac:dyDescent="0.3">
      <c r="B20" s="114" t="str">
        <f>'IND ESTADO SANITARIO'!J24</f>
        <v>Mayo</v>
      </c>
      <c r="C20" s="115">
        <f>'IND ESTADO SANITARIO'!J26</f>
        <v>0</v>
      </c>
      <c r="D20" s="115">
        <f>'IND ESTADO SANITARIO'!J27</f>
        <v>0</v>
      </c>
      <c r="E20" s="113" t="e">
        <f>'IND ESTADO SANITARIO'!$J$33</f>
        <v>#DIV/0!</v>
      </c>
      <c r="F20" s="113">
        <f>'IND ESTADO SANITARIO'!$U$14</f>
        <v>0.9</v>
      </c>
      <c r="G20" s="423"/>
      <c r="H20" s="424"/>
      <c r="I20" s="419"/>
      <c r="J20" s="419"/>
      <c r="K20" s="419"/>
      <c r="L20" s="53"/>
    </row>
    <row r="21" spans="2:12" ht="30.75" customHeight="1" thickBot="1" x14ac:dyDescent="0.3">
      <c r="B21" s="114" t="str">
        <f>'IND ESTADO SANITARIO'!K24</f>
        <v>Junio</v>
      </c>
      <c r="C21" s="115">
        <f>'IND ESTADO SANITARIO'!K26</f>
        <v>0</v>
      </c>
      <c r="D21" s="115">
        <f>'IND ESTADO SANITARIO'!K27</f>
        <v>0</v>
      </c>
      <c r="E21" s="113" t="e">
        <f>'IND ESTADO SANITARIO'!$K$33</f>
        <v>#DIV/0!</v>
      </c>
      <c r="F21" s="113">
        <f>'IND ESTADO SANITARIO'!$U$14</f>
        <v>0.9</v>
      </c>
      <c r="G21" s="423"/>
      <c r="H21" s="424"/>
      <c r="I21" s="419"/>
      <c r="J21" s="419"/>
      <c r="K21" s="419"/>
      <c r="L21" s="53"/>
    </row>
    <row r="22" spans="2:12" ht="30.75" customHeight="1" thickBot="1" x14ac:dyDescent="0.3">
      <c r="B22" s="114" t="str">
        <f>'IND ESTADO SANITARIO'!L24</f>
        <v>Julio</v>
      </c>
      <c r="C22" s="115">
        <f>'IND ESTADO SANITARIO'!L26</f>
        <v>0</v>
      </c>
      <c r="D22" s="115">
        <f>'IND ESTADO SANITARIO'!L27</f>
        <v>0</v>
      </c>
      <c r="E22" s="113" t="e">
        <f>'IND ESTADO SANITARIO'!$L$33</f>
        <v>#DIV/0!</v>
      </c>
      <c r="F22" s="113">
        <f>'IND ESTADO SANITARIO'!$U$14</f>
        <v>0.9</v>
      </c>
      <c r="G22" s="423"/>
      <c r="H22" s="424"/>
      <c r="I22" s="419"/>
      <c r="J22" s="419"/>
      <c r="K22" s="419"/>
      <c r="L22" s="53"/>
    </row>
    <row r="23" spans="2:12" ht="30.75" customHeight="1" thickBot="1" x14ac:dyDescent="0.3">
      <c r="B23" s="114" t="str">
        <f>'IND ESTADO SANITARIO'!M24</f>
        <v>Agosto</v>
      </c>
      <c r="C23" s="115">
        <f>'IND ESTADO SANITARIO'!M26</f>
        <v>0</v>
      </c>
      <c r="D23" s="115">
        <f>'IND ESTADO SANITARIO'!M27</f>
        <v>0</v>
      </c>
      <c r="E23" s="113" t="e">
        <f>'IND ESTADO SANITARIO'!$M$33</f>
        <v>#DIV/0!</v>
      </c>
      <c r="F23" s="113">
        <f>'IND ESTADO SANITARIO'!$U$14</f>
        <v>0.9</v>
      </c>
      <c r="G23" s="423"/>
      <c r="H23" s="424"/>
      <c r="I23" s="419"/>
      <c r="J23" s="419"/>
      <c r="K23" s="419"/>
      <c r="L23" s="53"/>
    </row>
    <row r="24" spans="2:12" ht="30.75" customHeight="1" thickBot="1" x14ac:dyDescent="0.3">
      <c r="B24" s="114" t="str">
        <f>'IND ESTADO SANITARIO'!N24</f>
        <v>Septiembre</v>
      </c>
      <c r="C24" s="115">
        <f>'IND ESTADO SANITARIO'!N26</f>
        <v>0</v>
      </c>
      <c r="D24" s="115">
        <f>'IND ESTADO SANITARIO'!N27</f>
        <v>0</v>
      </c>
      <c r="E24" s="113" t="e">
        <f>'IND ESTADO SANITARIO'!$N$33</f>
        <v>#DIV/0!</v>
      </c>
      <c r="F24" s="113">
        <f>'IND ESTADO SANITARIO'!$U$14</f>
        <v>0.9</v>
      </c>
      <c r="G24" s="423"/>
      <c r="H24" s="424"/>
      <c r="I24" s="419"/>
      <c r="J24" s="419"/>
      <c r="K24" s="419"/>
      <c r="L24" s="53"/>
    </row>
    <row r="25" spans="2:12" ht="30.75" customHeight="1" thickBot="1" x14ac:dyDescent="0.3">
      <c r="B25" s="114" t="str">
        <f>'IND ESTADO SANITARIO'!O24</f>
        <v>Octubre</v>
      </c>
      <c r="C25" s="115">
        <f>'IND ESTADO SANITARIO'!O26</f>
        <v>0</v>
      </c>
      <c r="D25" s="115">
        <f>'IND ESTADO SANITARIO'!O27</f>
        <v>0</v>
      </c>
      <c r="E25" s="113" t="e">
        <f>'IND ESTADO SANITARIO'!$O$33</f>
        <v>#DIV/0!</v>
      </c>
      <c r="F25" s="113">
        <f>'IND ESTADO SANITARIO'!$U$14</f>
        <v>0.9</v>
      </c>
      <c r="G25" s="423"/>
      <c r="H25" s="424"/>
      <c r="I25" s="419"/>
      <c r="J25" s="419"/>
      <c r="K25" s="419"/>
      <c r="L25" s="53"/>
    </row>
    <row r="26" spans="2:12" ht="30.75" customHeight="1" thickBot="1" x14ac:dyDescent="0.3">
      <c r="B26" s="114" t="str">
        <f>'IND ESTADO SANITARIO'!P24</f>
        <v>Noviembre</v>
      </c>
      <c r="C26" s="115">
        <f>'IND ESTADO SANITARIO'!P26</f>
        <v>0</v>
      </c>
      <c r="D26" s="115">
        <f>'IND ESTADO SANITARIO'!P27</f>
        <v>0</v>
      </c>
      <c r="E26" s="113" t="e">
        <f>'IND ESTADO SANITARIO'!$P$33</f>
        <v>#DIV/0!</v>
      </c>
      <c r="F26" s="113">
        <f>'IND ESTADO SANITARIO'!$U$14</f>
        <v>0.9</v>
      </c>
      <c r="G26" s="423"/>
      <c r="H26" s="424"/>
      <c r="I26" s="419"/>
      <c r="J26" s="419"/>
      <c r="K26" s="419"/>
      <c r="L26" s="53"/>
    </row>
    <row r="27" spans="2:12" ht="30.75" customHeight="1" thickBot="1" x14ac:dyDescent="0.3">
      <c r="B27" s="116" t="str">
        <f>'IND ESTADO SANITARIO'!Q24</f>
        <v>Diciembre</v>
      </c>
      <c r="C27" s="115">
        <f>'IND ESTADO SANITARIO'!Q26</f>
        <v>0</v>
      </c>
      <c r="D27" s="115">
        <f>'IND ESTADO SANITARIO'!Q27</f>
        <v>0</v>
      </c>
      <c r="E27" s="113" t="e">
        <f>'IND ESTADO SANITARIO'!$Q$33</f>
        <v>#DIV/0!</v>
      </c>
      <c r="F27" s="113">
        <f>'IND ESTADO SANITARIO'!$U$14</f>
        <v>0.9</v>
      </c>
      <c r="G27" s="409"/>
      <c r="H27" s="410"/>
      <c r="I27" s="420"/>
      <c r="J27" s="420"/>
      <c r="K27" s="420"/>
      <c r="L27" s="54"/>
    </row>
    <row r="28" spans="2:12" ht="13.8" thickBot="1" x14ac:dyDescent="0.3">
      <c r="B28" s="427"/>
      <c r="C28" s="428"/>
      <c r="D28" s="428"/>
      <c r="E28" s="428"/>
      <c r="F28" s="428"/>
      <c r="G28" s="428"/>
      <c r="H28" s="428"/>
      <c r="I28" s="428"/>
      <c r="J28" s="428"/>
      <c r="K28" s="428"/>
      <c r="L28" s="51"/>
    </row>
    <row r="29" spans="2:12" ht="18.75" customHeight="1" thickBot="1" x14ac:dyDescent="0.3">
      <c r="B29" s="429" t="s">
        <v>118</v>
      </c>
      <c r="C29" s="430"/>
      <c r="D29" s="430"/>
      <c r="E29" s="430"/>
      <c r="F29" s="430"/>
      <c r="G29" s="430"/>
      <c r="H29" s="430"/>
      <c r="I29" s="430"/>
      <c r="J29" s="430"/>
      <c r="K29" s="430"/>
      <c r="L29" s="55"/>
    </row>
    <row r="30" spans="2:12" ht="35.25" customHeight="1" x14ac:dyDescent="0.25">
      <c r="B30" s="431"/>
      <c r="C30" s="432"/>
      <c r="D30" s="432"/>
      <c r="E30" s="432"/>
      <c r="F30" s="432"/>
      <c r="G30" s="432"/>
      <c r="H30" s="432"/>
      <c r="I30" s="432"/>
      <c r="J30" s="432"/>
      <c r="K30" s="432"/>
    </row>
    <row r="31" spans="2:12" ht="35.25" customHeight="1" x14ac:dyDescent="0.25">
      <c r="B31" s="433"/>
      <c r="C31" s="434"/>
      <c r="D31" s="434"/>
      <c r="E31" s="434"/>
      <c r="F31" s="434"/>
      <c r="G31" s="434"/>
      <c r="H31" s="434"/>
      <c r="I31" s="434"/>
      <c r="J31" s="434"/>
      <c r="K31" s="434"/>
    </row>
    <row r="32" spans="2:12" ht="35.25" customHeight="1" x14ac:dyDescent="0.25">
      <c r="B32" s="425"/>
      <c r="C32" s="435"/>
      <c r="D32" s="435"/>
      <c r="E32" s="435"/>
      <c r="F32" s="435"/>
      <c r="G32" s="435"/>
      <c r="H32" s="435"/>
      <c r="I32" s="435"/>
      <c r="J32" s="435"/>
      <c r="K32" s="435"/>
      <c r="L32" s="426"/>
    </row>
    <row r="33" spans="2:12" ht="35.25" customHeight="1" x14ac:dyDescent="0.25">
      <c r="B33" s="425"/>
      <c r="C33" s="435"/>
      <c r="D33" s="435"/>
      <c r="E33" s="435"/>
      <c r="F33" s="435"/>
      <c r="G33" s="435"/>
      <c r="H33" s="435"/>
      <c r="I33" s="435"/>
      <c r="J33" s="435"/>
      <c r="K33" s="435"/>
      <c r="L33" s="426"/>
    </row>
    <row r="34" spans="2:12" ht="35.25" customHeight="1" x14ac:dyDescent="0.25">
      <c r="B34" s="425"/>
      <c r="C34" s="435"/>
      <c r="D34" s="435"/>
      <c r="E34" s="435"/>
      <c r="F34" s="435"/>
      <c r="G34" s="435"/>
      <c r="H34" s="435"/>
      <c r="I34" s="435"/>
      <c r="J34" s="435"/>
      <c r="K34" s="435"/>
      <c r="L34" s="426"/>
    </row>
    <row r="35" spans="2:12" ht="35.25" customHeight="1" x14ac:dyDescent="0.25">
      <c r="B35" s="425"/>
      <c r="C35" s="435"/>
      <c r="D35" s="435"/>
      <c r="E35" s="435"/>
      <c r="F35" s="435"/>
      <c r="G35" s="435"/>
      <c r="H35" s="435"/>
      <c r="I35" s="435"/>
      <c r="J35" s="435"/>
      <c r="K35" s="435"/>
      <c r="L35" s="426"/>
    </row>
    <row r="36" spans="2:12" ht="35.25" customHeight="1" x14ac:dyDescent="0.25">
      <c r="B36" s="425"/>
      <c r="C36" s="435"/>
      <c r="D36" s="435"/>
      <c r="E36" s="435"/>
      <c r="F36" s="435"/>
      <c r="G36" s="435"/>
      <c r="H36" s="435"/>
      <c r="I36" s="435"/>
      <c r="J36" s="435"/>
      <c r="K36" s="435"/>
      <c r="L36" s="426"/>
    </row>
    <row r="37" spans="2:12" ht="35.25" customHeight="1" x14ac:dyDescent="0.25">
      <c r="B37" s="425"/>
      <c r="C37" s="435"/>
      <c r="D37" s="435"/>
      <c r="E37" s="435"/>
      <c r="F37" s="435"/>
      <c r="G37" s="435"/>
      <c r="H37" s="435"/>
      <c r="I37" s="435"/>
      <c r="J37" s="435"/>
      <c r="K37" s="435"/>
      <c r="L37" s="426"/>
    </row>
    <row r="38" spans="2:12" ht="35.25" customHeight="1" x14ac:dyDescent="0.25">
      <c r="B38" s="425"/>
      <c r="C38" s="426"/>
      <c r="D38" s="426"/>
      <c r="E38" s="426"/>
      <c r="F38" s="426"/>
      <c r="G38" s="426"/>
      <c r="H38" s="426"/>
      <c r="I38" s="426"/>
      <c r="J38" s="426"/>
      <c r="K38" s="426"/>
      <c r="L38" s="426"/>
    </row>
    <row r="39" spans="2:12" ht="35.25" customHeight="1" x14ac:dyDescent="0.25">
      <c r="B39" s="425"/>
      <c r="C39" s="426"/>
      <c r="D39" s="426"/>
      <c r="E39" s="426"/>
      <c r="F39" s="426"/>
      <c r="G39" s="426"/>
      <c r="H39" s="426"/>
      <c r="I39" s="426"/>
      <c r="J39" s="426"/>
      <c r="K39" s="426"/>
      <c r="L39" s="426"/>
    </row>
    <row r="40" spans="2:12" ht="35.25" customHeight="1" x14ac:dyDescent="0.25">
      <c r="B40" s="425"/>
      <c r="C40" s="426"/>
      <c r="D40" s="426"/>
      <c r="E40" s="426"/>
      <c r="F40" s="426"/>
      <c r="G40" s="426"/>
      <c r="H40" s="426"/>
      <c r="I40" s="426"/>
      <c r="J40" s="426"/>
      <c r="K40" s="426"/>
      <c r="L40" s="426"/>
    </row>
    <row r="41" spans="2:12" ht="35.25" customHeight="1" x14ac:dyDescent="0.25">
      <c r="B41" s="425"/>
      <c r="C41" s="426"/>
      <c r="D41" s="426"/>
      <c r="E41" s="426"/>
      <c r="F41" s="426"/>
      <c r="G41" s="426"/>
      <c r="H41" s="426"/>
      <c r="I41" s="426"/>
      <c r="J41" s="426"/>
      <c r="K41" s="426"/>
      <c r="L41" s="426"/>
    </row>
    <row r="42" spans="2:12" ht="13.8" thickBot="1" x14ac:dyDescent="0.3">
      <c r="B42" s="436"/>
      <c r="C42" s="437"/>
      <c r="D42" s="437"/>
      <c r="E42" s="437"/>
      <c r="F42" s="437"/>
      <c r="G42" s="437"/>
      <c r="H42" s="437"/>
      <c r="I42" s="437"/>
      <c r="J42" s="437"/>
      <c r="K42" s="437"/>
    </row>
    <row r="43" spans="2:12" ht="27.75" customHeight="1" thickBot="1" x14ac:dyDescent="0.3">
      <c r="B43" s="429" t="s">
        <v>119</v>
      </c>
      <c r="C43" s="438"/>
      <c r="D43" s="438"/>
      <c r="E43" s="438"/>
      <c r="F43" s="438"/>
      <c r="G43" s="438"/>
      <c r="H43" s="438"/>
      <c r="I43" s="438"/>
      <c r="J43" s="438"/>
      <c r="K43" s="438"/>
      <c r="L43" s="438"/>
    </row>
    <row r="44" spans="2:12" ht="35.25" customHeight="1" thickBot="1" x14ac:dyDescent="0.3">
      <c r="B44" s="439" t="s">
        <v>120</v>
      </c>
      <c r="C44" s="440"/>
      <c r="D44" s="440"/>
      <c r="E44" s="440"/>
      <c r="F44" s="77" t="s">
        <v>12</v>
      </c>
      <c r="G44" s="77" t="s">
        <v>39</v>
      </c>
      <c r="H44" s="77" t="s">
        <v>121</v>
      </c>
      <c r="I44" s="77" t="s">
        <v>122</v>
      </c>
      <c r="J44" s="441" t="s">
        <v>123</v>
      </c>
      <c r="K44" s="442"/>
      <c r="L44" s="438"/>
    </row>
    <row r="45" spans="2:12" ht="38.25" customHeight="1" x14ac:dyDescent="0.25">
      <c r="B45" s="431"/>
      <c r="C45" s="432"/>
      <c r="D45" s="432"/>
      <c r="E45" s="446"/>
      <c r="F45" s="56"/>
      <c r="G45" s="57"/>
      <c r="H45" s="58"/>
      <c r="I45" s="58"/>
      <c r="J45" s="377"/>
      <c r="K45" s="447"/>
      <c r="L45" s="447"/>
    </row>
    <row r="46" spans="2:12" ht="38.25" customHeight="1" x14ac:dyDescent="0.25">
      <c r="B46" s="425"/>
      <c r="C46" s="435"/>
      <c r="D46" s="435"/>
      <c r="E46" s="448"/>
      <c r="F46" s="59"/>
      <c r="G46" s="75"/>
      <c r="H46" s="60"/>
      <c r="I46" s="60"/>
      <c r="J46" s="449"/>
      <c r="K46" s="426"/>
      <c r="L46" s="426"/>
    </row>
    <row r="47" spans="2:12" ht="38.25" customHeight="1" thickBot="1" x14ac:dyDescent="0.3">
      <c r="B47" s="433"/>
      <c r="C47" s="434"/>
      <c r="D47" s="434"/>
      <c r="E47" s="450"/>
      <c r="F47" s="61"/>
      <c r="G47" s="62"/>
      <c r="H47" s="63"/>
      <c r="I47" s="63"/>
      <c r="J47" s="451"/>
      <c r="K47" s="452"/>
      <c r="L47" s="452"/>
    </row>
    <row r="48" spans="2:12" ht="13.5" customHeight="1" thickBot="1" x14ac:dyDescent="0.3">
      <c r="B48" s="427"/>
      <c r="C48" s="438"/>
      <c r="D48" s="438"/>
      <c r="E48" s="438"/>
      <c r="F48" s="438"/>
      <c r="G48" s="438"/>
      <c r="H48" s="438"/>
      <c r="I48" s="438"/>
      <c r="J48" s="438"/>
      <c r="K48" s="438"/>
      <c r="L48" s="438"/>
    </row>
    <row r="49" spans="2:12" ht="25.5" customHeight="1" thickBot="1" x14ac:dyDescent="0.3">
      <c r="B49" s="429" t="s">
        <v>124</v>
      </c>
      <c r="C49" s="438"/>
      <c r="D49" s="438"/>
      <c r="E49" s="438"/>
      <c r="F49" s="438"/>
      <c r="G49" s="438"/>
      <c r="H49" s="438"/>
      <c r="I49" s="438"/>
      <c r="J49" s="438"/>
      <c r="K49" s="438"/>
      <c r="L49" s="438"/>
    </row>
    <row r="50" spans="2:12" ht="15" customHeight="1" x14ac:dyDescent="0.25">
      <c r="B50" s="417"/>
      <c r="C50" s="443"/>
      <c r="D50" s="443"/>
      <c r="E50" s="443"/>
      <c r="F50" s="443"/>
      <c r="G50" s="443"/>
      <c r="H50" s="443"/>
      <c r="I50" s="443"/>
      <c r="J50" s="443"/>
      <c r="K50" s="443"/>
      <c r="L50" s="443"/>
    </row>
    <row r="51" spans="2:12" ht="15" customHeight="1" x14ac:dyDescent="0.25">
      <c r="B51" s="444"/>
      <c r="C51" s="445"/>
      <c r="D51" s="445"/>
      <c r="E51" s="445"/>
      <c r="F51" s="445"/>
      <c r="G51" s="445"/>
      <c r="H51" s="445"/>
      <c r="I51" s="445"/>
      <c r="J51" s="445"/>
      <c r="K51" s="445"/>
      <c r="L51" s="445"/>
    </row>
    <row r="52" spans="2:12" ht="15" customHeight="1" x14ac:dyDescent="0.25">
      <c r="B52" s="444"/>
      <c r="C52" s="445"/>
      <c r="D52" s="445"/>
      <c r="E52" s="445"/>
      <c r="F52" s="445"/>
      <c r="G52" s="445"/>
      <c r="H52" s="445"/>
      <c r="I52" s="445"/>
      <c r="J52" s="445"/>
      <c r="K52" s="445"/>
      <c r="L52" s="445"/>
    </row>
    <row r="53" spans="2:12" ht="15" customHeight="1" x14ac:dyDescent="0.25">
      <c r="B53" s="444"/>
      <c r="C53" s="445"/>
      <c r="D53" s="445"/>
      <c r="E53" s="445"/>
      <c r="F53" s="445"/>
      <c r="G53" s="445"/>
      <c r="H53" s="445"/>
      <c r="I53" s="445"/>
      <c r="J53" s="445"/>
      <c r="K53" s="445"/>
      <c r="L53" s="445"/>
    </row>
    <row r="54" spans="2:12" ht="15" customHeight="1" thickBot="1" x14ac:dyDescent="0.3">
      <c r="B54" s="444"/>
      <c r="C54" s="445"/>
      <c r="D54" s="445"/>
      <c r="E54" s="445"/>
      <c r="F54" s="445"/>
      <c r="G54" s="445"/>
      <c r="H54" s="445"/>
      <c r="I54" s="445"/>
      <c r="J54" s="445"/>
      <c r="K54" s="445"/>
      <c r="L54" s="445"/>
    </row>
    <row r="55" spans="2:12" s="37" customFormat="1" x14ac:dyDescent="0.25"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2:12" s="37" customFormat="1" x14ac:dyDescent="0.25"/>
    <row r="57" spans="2:12" s="37" customFormat="1" x14ac:dyDescent="0.25"/>
    <row r="58" spans="2:12" s="37" customFormat="1" x14ac:dyDescent="0.25"/>
    <row r="59" spans="2:12" s="37" customFormat="1" x14ac:dyDescent="0.25"/>
    <row r="60" spans="2:12" s="37" customFormat="1" x14ac:dyDescent="0.25"/>
    <row r="61" spans="2:12" s="37" customFormat="1" x14ac:dyDescent="0.25"/>
    <row r="62" spans="2:12" s="37" customFormat="1" x14ac:dyDescent="0.25"/>
    <row r="63" spans="2:12" s="37" customFormat="1" x14ac:dyDescent="0.25"/>
    <row r="64" spans="2:12" s="37" customFormat="1" x14ac:dyDescent="0.25"/>
    <row r="65" s="37" customFormat="1" x14ac:dyDescent="0.25"/>
    <row r="66" s="37" customFormat="1" x14ac:dyDescent="0.25"/>
    <row r="67" s="37" customFormat="1" x14ac:dyDescent="0.25"/>
    <row r="68" s="37" customFormat="1" x14ac:dyDescent="0.25"/>
    <row r="69" s="37" customFormat="1" x14ac:dyDescent="0.25"/>
    <row r="70" s="37" customFormat="1" x14ac:dyDescent="0.25"/>
    <row r="71" s="37" customFormat="1" x14ac:dyDescent="0.25"/>
    <row r="72" s="37" customFormat="1" x14ac:dyDescent="0.25"/>
    <row r="73" s="37" customFormat="1" x14ac:dyDescent="0.25"/>
    <row r="74" s="37" customFormat="1" x14ac:dyDescent="0.25"/>
    <row r="75" s="37" customFormat="1" x14ac:dyDescent="0.25"/>
    <row r="76" s="37" customFormat="1" x14ac:dyDescent="0.25"/>
    <row r="77" s="37" customFormat="1" x14ac:dyDescent="0.25"/>
    <row r="78" s="37" customFormat="1" x14ac:dyDescent="0.25"/>
    <row r="79" s="37" customFormat="1" x14ac:dyDescent="0.25"/>
    <row r="80" s="37" customFormat="1" x14ac:dyDescent="0.25"/>
    <row r="81" s="37" customFormat="1" x14ac:dyDescent="0.25"/>
    <row r="82" s="37" customFormat="1" x14ac:dyDescent="0.25"/>
    <row r="83" s="37" customFormat="1" x14ac:dyDescent="0.25"/>
    <row r="84" s="37" customFormat="1" x14ac:dyDescent="0.25"/>
    <row r="85" s="37" customFormat="1" x14ac:dyDescent="0.25"/>
    <row r="86" s="37" customFormat="1" x14ac:dyDescent="0.25"/>
    <row r="87" s="37" customFormat="1" x14ac:dyDescent="0.25"/>
    <row r="88" s="37" customFormat="1" x14ac:dyDescent="0.25"/>
    <row r="89" s="37" customFormat="1" x14ac:dyDescent="0.25"/>
    <row r="90" s="37" customFormat="1" x14ac:dyDescent="0.25"/>
    <row r="91" s="37" customFormat="1" x14ac:dyDescent="0.25"/>
    <row r="92" s="37" customFormat="1" x14ac:dyDescent="0.25"/>
    <row r="93" s="37" customFormat="1" x14ac:dyDescent="0.25"/>
    <row r="94" s="37" customFormat="1" x14ac:dyDescent="0.25"/>
    <row r="95" s="37" customFormat="1" x14ac:dyDescent="0.25"/>
    <row r="96" s="37" customFormat="1" x14ac:dyDescent="0.25"/>
    <row r="97" s="37" customFormat="1" x14ac:dyDescent="0.25"/>
    <row r="98" s="37" customFormat="1" x14ac:dyDescent="0.25"/>
    <row r="99" s="37" customFormat="1" x14ac:dyDescent="0.25"/>
    <row r="100" s="37" customFormat="1" x14ac:dyDescent="0.25"/>
    <row r="101" s="37" customFormat="1" x14ac:dyDescent="0.25"/>
    <row r="102" s="37" customFormat="1" x14ac:dyDescent="0.25"/>
    <row r="103" s="37" customFormat="1" x14ac:dyDescent="0.25"/>
    <row r="104" s="37" customFormat="1" x14ac:dyDescent="0.25"/>
    <row r="105" s="37" customFormat="1" x14ac:dyDescent="0.25"/>
    <row r="106" s="37" customFormat="1" x14ac:dyDescent="0.25"/>
    <row r="107" s="37" customFormat="1" x14ac:dyDescent="0.25"/>
    <row r="108" s="37" customFormat="1" x14ac:dyDescent="0.25"/>
    <row r="109" s="37" customFormat="1" x14ac:dyDescent="0.25"/>
    <row r="110" s="37" customFormat="1" x14ac:dyDescent="0.25"/>
    <row r="111" s="37" customFormat="1" x14ac:dyDescent="0.25"/>
    <row r="112" s="37" customFormat="1" x14ac:dyDescent="0.25"/>
    <row r="113" s="37" customFormat="1" x14ac:dyDescent="0.25"/>
    <row r="114" s="37" customFormat="1" x14ac:dyDescent="0.25"/>
    <row r="115" s="37" customFormat="1" x14ac:dyDescent="0.25"/>
    <row r="116" s="37" customFormat="1" x14ac:dyDescent="0.25"/>
    <row r="117" s="37" customFormat="1" x14ac:dyDescent="0.25"/>
    <row r="118" s="37" customFormat="1" x14ac:dyDescent="0.25"/>
    <row r="119" s="37" customFormat="1" x14ac:dyDescent="0.25"/>
    <row r="120" s="37" customFormat="1" x14ac:dyDescent="0.25"/>
    <row r="121" s="37" customFormat="1" x14ac:dyDescent="0.25"/>
    <row r="122" s="37" customFormat="1" x14ac:dyDescent="0.25"/>
    <row r="123" s="37" customFormat="1" x14ac:dyDescent="0.25"/>
    <row r="124" s="37" customFormat="1" x14ac:dyDescent="0.25"/>
    <row r="125" s="37" customFormat="1" x14ac:dyDescent="0.25"/>
    <row r="126" s="37" customFormat="1" x14ac:dyDescent="0.25"/>
    <row r="127" s="37" customFormat="1" x14ac:dyDescent="0.25"/>
    <row r="128" s="37" customFormat="1" x14ac:dyDescent="0.25"/>
    <row r="129" s="37" customFormat="1" x14ac:dyDescent="0.25"/>
    <row r="130" s="37" customFormat="1" x14ac:dyDescent="0.25"/>
    <row r="131" s="37" customFormat="1" x14ac:dyDescent="0.25"/>
    <row r="132" s="37" customFormat="1" x14ac:dyDescent="0.25"/>
    <row r="133" s="37" customFormat="1" x14ac:dyDescent="0.25"/>
    <row r="134" s="37" customFormat="1" x14ac:dyDescent="0.25"/>
    <row r="135" s="37" customFormat="1" x14ac:dyDescent="0.25"/>
    <row r="136" s="37" customFormat="1" x14ac:dyDescent="0.25"/>
    <row r="137" s="37" customFormat="1" x14ac:dyDescent="0.25"/>
    <row r="138" s="37" customFormat="1" x14ac:dyDescent="0.25"/>
    <row r="139" s="37" customFormat="1" x14ac:dyDescent="0.25"/>
    <row r="140" s="37" customFormat="1" x14ac:dyDescent="0.25"/>
    <row r="141" s="37" customFormat="1" x14ac:dyDescent="0.25"/>
    <row r="142" s="37" customFormat="1" x14ac:dyDescent="0.25"/>
    <row r="143" s="37" customFormat="1" x14ac:dyDescent="0.25"/>
    <row r="144" s="37" customFormat="1" x14ac:dyDescent="0.25"/>
    <row r="145" s="37" customFormat="1" x14ac:dyDescent="0.25"/>
    <row r="146" s="37" customFormat="1" x14ac:dyDescent="0.25"/>
    <row r="147" s="37" customFormat="1" x14ac:dyDescent="0.25"/>
    <row r="148" s="37" customFormat="1" x14ac:dyDescent="0.25"/>
    <row r="149" s="37" customFormat="1" x14ac:dyDescent="0.25"/>
    <row r="150" s="37" customFormat="1" x14ac:dyDescent="0.25"/>
    <row r="151" s="37" customFormat="1" x14ac:dyDescent="0.25"/>
    <row r="152" s="37" customFormat="1" x14ac:dyDescent="0.25"/>
    <row r="153" s="37" customFormat="1" x14ac:dyDescent="0.25"/>
    <row r="154" s="37" customFormat="1" x14ac:dyDescent="0.25"/>
    <row r="155" s="37" customFormat="1" x14ac:dyDescent="0.25"/>
    <row r="156" s="37" customFormat="1" x14ac:dyDescent="0.25"/>
    <row r="157" s="37" customFormat="1" x14ac:dyDescent="0.25"/>
    <row r="158" s="37" customFormat="1" x14ac:dyDescent="0.25"/>
    <row r="159" s="37" customFormat="1" x14ac:dyDescent="0.25"/>
    <row r="160" s="37" customFormat="1" x14ac:dyDescent="0.25"/>
    <row r="161" s="37" customFormat="1" x14ac:dyDescent="0.25"/>
    <row r="162" s="37" customFormat="1" x14ac:dyDescent="0.25"/>
    <row r="163" s="37" customFormat="1" x14ac:dyDescent="0.25"/>
    <row r="164" s="37" customFormat="1" x14ac:dyDescent="0.25"/>
    <row r="165" s="37" customFormat="1" x14ac:dyDescent="0.25"/>
    <row r="166" s="37" customFormat="1" x14ac:dyDescent="0.25"/>
    <row r="167" s="37" customFormat="1" x14ac:dyDescent="0.25"/>
    <row r="168" s="37" customFormat="1" x14ac:dyDescent="0.25"/>
    <row r="169" s="37" customFormat="1" x14ac:dyDescent="0.25"/>
    <row r="170" s="37" customFormat="1" x14ac:dyDescent="0.25"/>
    <row r="171" s="37" customFormat="1" x14ac:dyDescent="0.25"/>
    <row r="172" s="37" customFormat="1" x14ac:dyDescent="0.25"/>
    <row r="173" s="37" customFormat="1" x14ac:dyDescent="0.25"/>
    <row r="174" s="37" customFormat="1" x14ac:dyDescent="0.25"/>
    <row r="175" s="37" customFormat="1" x14ac:dyDescent="0.25"/>
    <row r="176" s="37" customFormat="1" x14ac:dyDescent="0.25"/>
    <row r="177" s="37" customFormat="1" x14ac:dyDescent="0.25"/>
    <row r="178" s="37" customFormat="1" x14ac:dyDescent="0.25"/>
    <row r="179" s="37" customFormat="1" x14ac:dyDescent="0.25"/>
    <row r="180" s="37" customFormat="1" x14ac:dyDescent="0.25"/>
    <row r="181" s="37" customFormat="1" x14ac:dyDescent="0.25"/>
    <row r="182" s="37" customFormat="1" x14ac:dyDescent="0.25"/>
    <row r="183" s="37" customFormat="1" x14ac:dyDescent="0.25"/>
    <row r="184" s="37" customFormat="1" x14ac:dyDescent="0.25"/>
    <row r="185" s="37" customFormat="1" x14ac:dyDescent="0.25"/>
    <row r="186" s="37" customFormat="1" x14ac:dyDescent="0.25"/>
    <row r="187" s="37" customFormat="1" x14ac:dyDescent="0.25"/>
    <row r="188" s="37" customFormat="1" x14ac:dyDescent="0.25"/>
    <row r="189" s="37" customFormat="1" x14ac:dyDescent="0.25"/>
    <row r="190" s="37" customFormat="1" x14ac:dyDescent="0.25"/>
    <row r="191" s="37" customFormat="1" x14ac:dyDescent="0.25"/>
    <row r="192" s="37" customFormat="1" x14ac:dyDescent="0.25"/>
    <row r="193" s="37" customFormat="1" x14ac:dyDescent="0.25"/>
    <row r="194" s="37" customFormat="1" x14ac:dyDescent="0.25"/>
    <row r="195" s="37" customFormat="1" x14ac:dyDescent="0.25"/>
    <row r="196" s="37" customFormat="1" x14ac:dyDescent="0.25"/>
    <row r="197" s="37" customFormat="1" x14ac:dyDescent="0.25"/>
    <row r="198" s="37" customFormat="1" x14ac:dyDescent="0.25"/>
    <row r="199" s="37" customFormat="1" x14ac:dyDescent="0.25"/>
    <row r="200" s="37" customFormat="1" x14ac:dyDescent="0.25"/>
    <row r="201" s="37" customFormat="1" x14ac:dyDescent="0.25"/>
    <row r="202" s="37" customFormat="1" x14ac:dyDescent="0.25"/>
    <row r="203" s="37" customFormat="1" x14ac:dyDescent="0.25"/>
    <row r="204" s="37" customFormat="1" x14ac:dyDescent="0.25"/>
    <row r="205" s="37" customFormat="1" x14ac:dyDescent="0.25"/>
    <row r="206" s="37" customFormat="1" x14ac:dyDescent="0.25"/>
    <row r="207" s="37" customFormat="1" x14ac:dyDescent="0.25"/>
    <row r="208" s="37" customFormat="1" x14ac:dyDescent="0.25"/>
    <row r="209" s="37" customFormat="1" x14ac:dyDescent="0.25"/>
    <row r="210" s="37" customFormat="1" x14ac:dyDescent="0.25"/>
    <row r="211" s="37" customFormat="1" x14ac:dyDescent="0.25"/>
    <row r="212" s="37" customFormat="1" x14ac:dyDescent="0.25"/>
    <row r="213" s="37" customFormat="1" x14ac:dyDescent="0.25"/>
    <row r="214" s="37" customFormat="1" x14ac:dyDescent="0.25"/>
    <row r="215" s="37" customFormat="1" x14ac:dyDescent="0.25"/>
    <row r="216" s="37" customFormat="1" x14ac:dyDescent="0.25"/>
    <row r="217" s="37" customFormat="1" x14ac:dyDescent="0.25"/>
    <row r="218" s="37" customFormat="1" x14ac:dyDescent="0.25"/>
    <row r="219" s="37" customFormat="1" x14ac:dyDescent="0.25"/>
    <row r="220" s="37" customFormat="1" x14ac:dyDescent="0.25"/>
    <row r="221" s="37" customFormat="1" x14ac:dyDescent="0.25"/>
    <row r="222" s="37" customFormat="1" x14ac:dyDescent="0.25"/>
    <row r="223" s="37" customFormat="1" x14ac:dyDescent="0.25"/>
    <row r="224" s="37" customFormat="1" x14ac:dyDescent="0.25"/>
    <row r="225" s="37" customFormat="1" x14ac:dyDescent="0.25"/>
    <row r="226" s="37" customFormat="1" x14ac:dyDescent="0.25"/>
    <row r="227" s="37" customFormat="1" x14ac:dyDescent="0.25"/>
    <row r="228" s="37" customFormat="1" x14ac:dyDescent="0.25"/>
    <row r="229" s="37" customFormat="1" x14ac:dyDescent="0.25"/>
    <row r="230" s="37" customFormat="1" x14ac:dyDescent="0.25"/>
    <row r="231" s="37" customFormat="1" x14ac:dyDescent="0.25"/>
    <row r="232" s="37" customFormat="1" x14ac:dyDescent="0.25"/>
    <row r="233" s="37" customFormat="1" x14ac:dyDescent="0.25"/>
    <row r="234" s="37" customFormat="1" x14ac:dyDescent="0.25"/>
    <row r="235" s="37" customFormat="1" x14ac:dyDescent="0.25"/>
    <row r="236" s="37" customFormat="1" x14ac:dyDescent="0.25"/>
    <row r="237" s="37" customFormat="1" x14ac:dyDescent="0.25"/>
    <row r="238" s="37" customFormat="1" x14ac:dyDescent="0.25"/>
    <row r="239" s="37" customFormat="1" x14ac:dyDescent="0.25"/>
    <row r="240" s="37" customFormat="1" x14ac:dyDescent="0.25"/>
    <row r="241" spans="2:11" s="37" customFormat="1" x14ac:dyDescent="0.25"/>
    <row r="242" spans="2:11" s="37" customFormat="1" x14ac:dyDescent="0.25"/>
    <row r="243" spans="2:11" s="37" customFormat="1" x14ac:dyDescent="0.25"/>
    <row r="244" spans="2:11" s="37" customFormat="1" x14ac:dyDescent="0.25"/>
    <row r="245" spans="2:11" x14ac:dyDescent="0.25">
      <c r="B245" s="41"/>
      <c r="C245" s="41"/>
      <c r="D245" s="41"/>
      <c r="E245" s="41"/>
      <c r="F245" s="41"/>
      <c r="G245" s="41"/>
      <c r="H245" s="41"/>
      <c r="I245" s="41"/>
      <c r="J245" s="41"/>
      <c r="K245" s="41"/>
    </row>
    <row r="246" spans="2:11" x14ac:dyDescent="0.25">
      <c r="B246" s="41"/>
      <c r="C246" s="41"/>
      <c r="D246" s="41"/>
      <c r="E246" s="41"/>
      <c r="F246" s="41"/>
      <c r="G246" s="41"/>
      <c r="H246" s="41"/>
      <c r="I246" s="41"/>
      <c r="J246" s="41"/>
      <c r="K246" s="41"/>
    </row>
    <row r="247" spans="2:11" x14ac:dyDescent="0.25">
      <c r="B247" s="41"/>
      <c r="C247" s="41"/>
      <c r="D247" s="41"/>
      <c r="E247" s="41"/>
      <c r="F247" s="41"/>
      <c r="G247" s="41"/>
      <c r="H247" s="41"/>
      <c r="I247" s="41"/>
      <c r="J247" s="41"/>
      <c r="K247" s="41"/>
    </row>
    <row r="248" spans="2:11" x14ac:dyDescent="0.25">
      <c r="B248" s="41"/>
      <c r="C248" s="41"/>
      <c r="D248" s="41"/>
      <c r="E248" s="41"/>
      <c r="F248" s="41"/>
      <c r="G248" s="41"/>
      <c r="H248" s="41"/>
      <c r="I248" s="41"/>
      <c r="J248" s="41"/>
      <c r="K248" s="41"/>
    </row>
    <row r="249" spans="2:11" x14ac:dyDescent="0.25">
      <c r="B249" s="41"/>
      <c r="C249" s="41"/>
      <c r="D249" s="41"/>
      <c r="E249" s="41"/>
      <c r="F249" s="41"/>
      <c r="G249" s="41"/>
      <c r="H249" s="41"/>
      <c r="I249" s="41"/>
      <c r="J249" s="41"/>
      <c r="K249" s="41"/>
    </row>
    <row r="250" spans="2:11" x14ac:dyDescent="0.25">
      <c r="B250" s="41"/>
      <c r="C250" s="41"/>
      <c r="D250" s="41"/>
      <c r="E250" s="41"/>
      <c r="F250" s="41"/>
      <c r="G250" s="41"/>
      <c r="H250" s="41"/>
      <c r="I250" s="41"/>
      <c r="J250" s="41"/>
      <c r="K250" s="41"/>
    </row>
    <row r="251" spans="2:11" x14ac:dyDescent="0.25">
      <c r="B251" s="41"/>
      <c r="C251" s="41"/>
      <c r="D251" s="41"/>
      <c r="E251" s="41"/>
      <c r="F251" s="41"/>
      <c r="G251" s="41"/>
      <c r="H251" s="41"/>
      <c r="I251" s="41"/>
      <c r="J251" s="41"/>
      <c r="K251" s="41"/>
    </row>
    <row r="252" spans="2:11" x14ac:dyDescent="0.25">
      <c r="B252" s="41"/>
      <c r="C252" s="41"/>
      <c r="D252" s="41"/>
      <c r="E252" s="41"/>
      <c r="F252" s="41"/>
      <c r="G252" s="41"/>
      <c r="H252" s="41"/>
      <c r="I252" s="41"/>
      <c r="J252" s="41"/>
      <c r="K252" s="41"/>
    </row>
    <row r="253" spans="2:11" x14ac:dyDescent="0.25">
      <c r="B253" s="41"/>
      <c r="C253" s="41"/>
      <c r="D253" s="41"/>
      <c r="E253" s="41"/>
      <c r="F253" s="41"/>
      <c r="G253" s="41"/>
      <c r="H253" s="41"/>
      <c r="I253" s="41"/>
      <c r="J253" s="41"/>
      <c r="K253" s="41"/>
    </row>
    <row r="254" spans="2:11" x14ac:dyDescent="0.25">
      <c r="B254" s="41"/>
      <c r="C254" s="41"/>
      <c r="D254" s="41"/>
      <c r="E254" s="41"/>
      <c r="F254" s="41"/>
      <c r="G254" s="41"/>
      <c r="H254" s="41"/>
      <c r="I254" s="41"/>
      <c r="J254" s="41"/>
      <c r="K254" s="41"/>
    </row>
    <row r="255" spans="2:11" x14ac:dyDescent="0.25">
      <c r="B255" s="41"/>
      <c r="C255" s="41"/>
      <c r="D255" s="41"/>
      <c r="E255" s="41"/>
      <c r="F255" s="41"/>
      <c r="G255" s="41"/>
      <c r="H255" s="41"/>
      <c r="I255" s="41"/>
      <c r="J255" s="41"/>
      <c r="K255" s="41"/>
    </row>
    <row r="256" spans="2:11" x14ac:dyDescent="0.25">
      <c r="B256" s="41"/>
      <c r="C256" s="41"/>
      <c r="D256" s="41"/>
      <c r="E256" s="41"/>
      <c r="F256" s="41"/>
      <c r="G256" s="41"/>
      <c r="H256" s="41"/>
      <c r="I256" s="41"/>
      <c r="J256" s="41"/>
      <c r="K256" s="41"/>
    </row>
    <row r="257" spans="2:11" x14ac:dyDescent="0.25">
      <c r="B257" s="41"/>
      <c r="C257" s="41"/>
      <c r="D257" s="41"/>
      <c r="E257" s="41"/>
      <c r="F257" s="41"/>
      <c r="G257" s="41"/>
      <c r="H257" s="41"/>
      <c r="I257" s="41"/>
      <c r="J257" s="41"/>
      <c r="K257" s="41"/>
    </row>
    <row r="258" spans="2:11" x14ac:dyDescent="0.25">
      <c r="B258" s="41"/>
      <c r="C258" s="41"/>
      <c r="D258" s="41"/>
      <c r="E258" s="41"/>
      <c r="F258" s="41"/>
      <c r="G258" s="41"/>
      <c r="H258" s="41"/>
      <c r="I258" s="41"/>
      <c r="J258" s="41"/>
      <c r="K258" s="41"/>
    </row>
    <row r="259" spans="2:11" x14ac:dyDescent="0.25">
      <c r="B259" s="41"/>
      <c r="C259" s="41"/>
      <c r="D259" s="41"/>
      <c r="E259" s="41"/>
      <c r="F259" s="41"/>
      <c r="G259" s="41"/>
      <c r="H259" s="41"/>
      <c r="I259" s="41"/>
      <c r="J259" s="41"/>
      <c r="K259" s="41"/>
    </row>
    <row r="260" spans="2:11" x14ac:dyDescent="0.25">
      <c r="B260" s="41"/>
      <c r="C260" s="41"/>
      <c r="D260" s="41"/>
      <c r="E260" s="41"/>
      <c r="F260" s="41"/>
      <c r="G260" s="41"/>
      <c r="H260" s="41"/>
      <c r="I260" s="41"/>
      <c r="J260" s="41"/>
      <c r="K260" s="41"/>
    </row>
    <row r="261" spans="2:11" x14ac:dyDescent="0.25">
      <c r="B261" s="41"/>
      <c r="C261" s="41"/>
      <c r="D261" s="41"/>
      <c r="E261" s="41"/>
      <c r="F261" s="41"/>
      <c r="G261" s="41"/>
      <c r="H261" s="41"/>
      <c r="I261" s="41"/>
      <c r="J261" s="41"/>
      <c r="K261" s="41"/>
    </row>
    <row r="262" spans="2:11" x14ac:dyDescent="0.25">
      <c r="B262" s="41"/>
      <c r="C262" s="41"/>
      <c r="D262" s="41"/>
      <c r="E262" s="41"/>
      <c r="F262" s="41"/>
      <c r="G262" s="41"/>
      <c r="H262" s="41"/>
      <c r="I262" s="41"/>
      <c r="J262" s="41"/>
      <c r="K262" s="41"/>
    </row>
    <row r="263" spans="2:11" x14ac:dyDescent="0.25">
      <c r="B263" s="41"/>
      <c r="C263" s="41"/>
      <c r="D263" s="41"/>
      <c r="E263" s="41"/>
      <c r="F263" s="41"/>
      <c r="G263" s="41"/>
      <c r="H263" s="41"/>
      <c r="I263" s="41"/>
      <c r="J263" s="41"/>
      <c r="K263" s="41"/>
    </row>
    <row r="264" spans="2:11" x14ac:dyDescent="0.25">
      <c r="B264" s="41"/>
      <c r="C264" s="41"/>
      <c r="D264" s="41"/>
      <c r="E264" s="41"/>
      <c r="F264" s="41"/>
      <c r="G264" s="41"/>
      <c r="H264" s="41"/>
      <c r="I264" s="41"/>
      <c r="J264" s="41"/>
      <c r="K264" s="41"/>
    </row>
    <row r="265" spans="2:11" x14ac:dyDescent="0.25">
      <c r="B265" s="41"/>
      <c r="C265" s="41"/>
      <c r="D265" s="41"/>
      <c r="E265" s="41"/>
      <c r="F265" s="41"/>
      <c r="G265" s="41"/>
      <c r="H265" s="41"/>
      <c r="I265" s="41"/>
      <c r="J265" s="41"/>
      <c r="K265" s="41"/>
    </row>
    <row r="266" spans="2:11" x14ac:dyDescent="0.25">
      <c r="B266" s="41"/>
      <c r="C266" s="41"/>
      <c r="D266" s="41"/>
      <c r="E266" s="41"/>
      <c r="F266" s="41"/>
      <c r="G266" s="41"/>
      <c r="H266" s="41"/>
      <c r="I266" s="41"/>
      <c r="J266" s="41"/>
      <c r="K266" s="41"/>
    </row>
    <row r="267" spans="2:11" x14ac:dyDescent="0.25">
      <c r="B267" s="41"/>
      <c r="C267" s="41"/>
      <c r="D267" s="41"/>
      <c r="E267" s="41"/>
      <c r="F267" s="41"/>
      <c r="G267" s="41"/>
      <c r="H267" s="41"/>
      <c r="I267" s="41"/>
      <c r="J267" s="41"/>
      <c r="K267" s="41"/>
    </row>
    <row r="268" spans="2:11" x14ac:dyDescent="0.25">
      <c r="B268" s="41"/>
      <c r="C268" s="41"/>
      <c r="D268" s="41"/>
      <c r="E268" s="41"/>
      <c r="F268" s="41"/>
      <c r="G268" s="41"/>
      <c r="H268" s="41"/>
      <c r="I268" s="41"/>
      <c r="J268" s="41"/>
      <c r="K268" s="41"/>
    </row>
    <row r="269" spans="2:11" x14ac:dyDescent="0.25">
      <c r="B269" s="41"/>
      <c r="C269" s="41"/>
      <c r="D269" s="41"/>
      <c r="E269" s="41"/>
      <c r="F269" s="41"/>
      <c r="G269" s="41"/>
      <c r="H269" s="41"/>
      <c r="I269" s="41"/>
      <c r="J269" s="41"/>
      <c r="K269" s="41"/>
    </row>
    <row r="270" spans="2:11" x14ac:dyDescent="0.25">
      <c r="B270" s="41"/>
      <c r="C270" s="41"/>
      <c r="D270" s="41"/>
      <c r="E270" s="41"/>
      <c r="F270" s="41"/>
      <c r="G270" s="41"/>
      <c r="H270" s="41"/>
      <c r="I270" s="41"/>
      <c r="J270" s="41"/>
      <c r="K270" s="41"/>
    </row>
    <row r="271" spans="2:11" x14ac:dyDescent="0.25">
      <c r="B271" s="41"/>
      <c r="C271" s="41"/>
      <c r="D271" s="41"/>
      <c r="E271" s="41"/>
      <c r="F271" s="41"/>
      <c r="G271" s="41"/>
      <c r="H271" s="41"/>
      <c r="I271" s="41"/>
      <c r="J271" s="41"/>
      <c r="K271" s="41"/>
    </row>
    <row r="272" spans="2:11" x14ac:dyDescent="0.25">
      <c r="B272" s="41"/>
      <c r="C272" s="41"/>
      <c r="D272" s="41"/>
      <c r="E272" s="41"/>
      <c r="F272" s="41"/>
      <c r="G272" s="41"/>
      <c r="H272" s="41"/>
      <c r="I272" s="41"/>
      <c r="J272" s="41"/>
      <c r="K272" s="41"/>
    </row>
    <row r="273" spans="2:11" x14ac:dyDescent="0.25">
      <c r="B273" s="41"/>
      <c r="C273" s="41"/>
      <c r="D273" s="41"/>
      <c r="E273" s="41"/>
      <c r="F273" s="41"/>
      <c r="G273" s="41"/>
      <c r="H273" s="41"/>
      <c r="I273" s="41"/>
      <c r="J273" s="41"/>
      <c r="K273" s="41"/>
    </row>
    <row r="274" spans="2:11" x14ac:dyDescent="0.25">
      <c r="B274" s="41"/>
      <c r="C274" s="41"/>
      <c r="D274" s="41"/>
      <c r="E274" s="41"/>
      <c r="F274" s="41"/>
      <c r="G274" s="41"/>
      <c r="H274" s="41"/>
      <c r="I274" s="41"/>
      <c r="J274" s="41"/>
      <c r="K274" s="41"/>
    </row>
    <row r="275" spans="2:11" x14ac:dyDescent="0.25">
      <c r="B275" s="41"/>
      <c r="C275" s="41"/>
      <c r="D275" s="41"/>
      <c r="E275" s="41"/>
      <c r="F275" s="41"/>
      <c r="G275" s="41"/>
      <c r="H275" s="41"/>
      <c r="I275" s="41"/>
      <c r="J275" s="41"/>
      <c r="K275" s="41"/>
    </row>
    <row r="276" spans="2:11" x14ac:dyDescent="0.25">
      <c r="B276" s="41"/>
      <c r="C276" s="41"/>
      <c r="D276" s="41"/>
      <c r="E276" s="41"/>
      <c r="F276" s="41"/>
      <c r="G276" s="41"/>
      <c r="H276" s="41"/>
      <c r="I276" s="41"/>
      <c r="J276" s="41"/>
      <c r="K276" s="41"/>
    </row>
    <row r="277" spans="2:11" x14ac:dyDescent="0.25">
      <c r="B277" s="41"/>
      <c r="C277" s="41"/>
      <c r="D277" s="41"/>
      <c r="E277" s="41"/>
      <c r="F277" s="41"/>
      <c r="G277" s="41"/>
      <c r="H277" s="41"/>
      <c r="I277" s="41"/>
      <c r="J277" s="41"/>
      <c r="K277" s="41"/>
    </row>
    <row r="278" spans="2:11" x14ac:dyDescent="0.25">
      <c r="B278" s="41"/>
      <c r="C278" s="41"/>
      <c r="D278" s="41"/>
      <c r="E278" s="41"/>
      <c r="F278" s="41"/>
      <c r="G278" s="41"/>
      <c r="H278" s="41"/>
      <c r="I278" s="41"/>
      <c r="J278" s="41"/>
      <c r="K278" s="41"/>
    </row>
    <row r="279" spans="2:11" x14ac:dyDescent="0.25">
      <c r="B279" s="41"/>
      <c r="C279" s="41"/>
      <c r="D279" s="41"/>
      <c r="E279" s="41"/>
      <c r="F279" s="41"/>
      <c r="G279" s="41"/>
      <c r="H279" s="41"/>
      <c r="I279" s="41"/>
      <c r="J279" s="41"/>
      <c r="K279" s="41"/>
    </row>
    <row r="280" spans="2:11" x14ac:dyDescent="0.25">
      <c r="B280" s="41"/>
      <c r="C280" s="41"/>
      <c r="D280" s="41"/>
      <c r="E280" s="41"/>
      <c r="F280" s="41"/>
      <c r="G280" s="41"/>
      <c r="H280" s="41"/>
      <c r="I280" s="41"/>
      <c r="J280" s="41"/>
      <c r="K280" s="41"/>
    </row>
    <row r="281" spans="2:11" x14ac:dyDescent="0.25">
      <c r="B281" s="41"/>
      <c r="C281" s="41"/>
      <c r="D281" s="41"/>
      <c r="E281" s="41"/>
      <c r="F281" s="41"/>
      <c r="G281" s="41"/>
      <c r="H281" s="41"/>
      <c r="I281" s="41"/>
      <c r="J281" s="41"/>
      <c r="K281" s="41"/>
    </row>
    <row r="282" spans="2:11" x14ac:dyDescent="0.25">
      <c r="B282" s="41"/>
      <c r="C282" s="41"/>
      <c r="D282" s="41"/>
      <c r="E282" s="41"/>
      <c r="F282" s="41"/>
      <c r="G282" s="41"/>
      <c r="H282" s="41"/>
      <c r="I282" s="41"/>
      <c r="J282" s="41"/>
      <c r="K282" s="41"/>
    </row>
    <row r="283" spans="2:11" x14ac:dyDescent="0.25">
      <c r="B283" s="41"/>
      <c r="C283" s="41"/>
      <c r="D283" s="41"/>
      <c r="E283" s="41"/>
      <c r="F283" s="41"/>
      <c r="G283" s="41"/>
      <c r="H283" s="41"/>
      <c r="I283" s="41"/>
      <c r="J283" s="41"/>
      <c r="K283" s="41"/>
    </row>
    <row r="284" spans="2:11" x14ac:dyDescent="0.25">
      <c r="B284" s="41"/>
      <c r="C284" s="41"/>
      <c r="D284" s="41"/>
      <c r="E284" s="41"/>
      <c r="F284" s="41"/>
      <c r="G284" s="41"/>
      <c r="H284" s="41"/>
      <c r="I284" s="41"/>
      <c r="J284" s="41"/>
      <c r="K284" s="41"/>
    </row>
    <row r="285" spans="2:11" x14ac:dyDescent="0.25">
      <c r="B285" s="41"/>
      <c r="C285" s="41"/>
      <c r="D285" s="41"/>
      <c r="E285" s="41"/>
      <c r="F285" s="41"/>
      <c r="G285" s="41"/>
      <c r="H285" s="41"/>
      <c r="I285" s="41"/>
      <c r="J285" s="41"/>
      <c r="K285" s="41"/>
    </row>
    <row r="286" spans="2:11" x14ac:dyDescent="0.25">
      <c r="B286" s="41"/>
      <c r="C286" s="41"/>
      <c r="D286" s="41"/>
      <c r="E286" s="41"/>
      <c r="F286" s="41"/>
      <c r="G286" s="41"/>
      <c r="H286" s="41"/>
      <c r="I286" s="41"/>
      <c r="J286" s="41"/>
      <c r="K286" s="41"/>
    </row>
    <row r="287" spans="2:11" x14ac:dyDescent="0.25">
      <c r="B287" s="41"/>
      <c r="C287" s="41"/>
      <c r="D287" s="41"/>
      <c r="E287" s="41"/>
      <c r="F287" s="41"/>
      <c r="G287" s="41"/>
      <c r="H287" s="41"/>
      <c r="I287" s="41"/>
      <c r="J287" s="41"/>
      <c r="K287" s="41"/>
    </row>
    <row r="288" spans="2:11" x14ac:dyDescent="0.25">
      <c r="B288" s="41"/>
      <c r="C288" s="41"/>
      <c r="D288" s="41"/>
      <c r="E288" s="41"/>
      <c r="F288" s="41"/>
      <c r="G288" s="41"/>
      <c r="H288" s="41"/>
      <c r="I288" s="41"/>
      <c r="J288" s="41"/>
      <c r="K288" s="41"/>
    </row>
    <row r="289" spans="2:11" x14ac:dyDescent="0.25">
      <c r="B289" s="41"/>
      <c r="C289" s="41"/>
      <c r="D289" s="41"/>
      <c r="E289" s="41"/>
      <c r="F289" s="41"/>
      <c r="G289" s="41"/>
      <c r="H289" s="41"/>
      <c r="I289" s="41"/>
      <c r="J289" s="41"/>
      <c r="K289" s="41"/>
    </row>
    <row r="290" spans="2:11" x14ac:dyDescent="0.25">
      <c r="B290" s="41"/>
      <c r="C290" s="41"/>
      <c r="D290" s="41"/>
      <c r="E290" s="41"/>
      <c r="F290" s="41"/>
      <c r="G290" s="41"/>
      <c r="H290" s="41"/>
      <c r="I290" s="41"/>
      <c r="J290" s="41"/>
      <c r="K290" s="41"/>
    </row>
    <row r="291" spans="2:11" x14ac:dyDescent="0.25">
      <c r="B291" s="41"/>
      <c r="C291" s="41"/>
      <c r="D291" s="41"/>
      <c r="E291" s="41"/>
      <c r="F291" s="41"/>
      <c r="G291" s="41"/>
      <c r="H291" s="41"/>
      <c r="I291" s="41"/>
      <c r="J291" s="41"/>
      <c r="K291" s="41"/>
    </row>
    <row r="292" spans="2:11" x14ac:dyDescent="0.25">
      <c r="B292" s="41"/>
      <c r="C292" s="41"/>
      <c r="D292" s="41"/>
      <c r="E292" s="41"/>
      <c r="F292" s="41"/>
      <c r="G292" s="41"/>
      <c r="H292" s="41"/>
      <c r="I292" s="41"/>
      <c r="J292" s="41"/>
      <c r="K292" s="41"/>
    </row>
    <row r="293" spans="2:11" x14ac:dyDescent="0.25">
      <c r="B293" s="41"/>
      <c r="C293" s="41"/>
      <c r="D293" s="41"/>
      <c r="E293" s="41"/>
      <c r="F293" s="41"/>
      <c r="G293" s="41"/>
      <c r="H293" s="41"/>
      <c r="I293" s="41"/>
      <c r="J293" s="41"/>
      <c r="K293" s="41"/>
    </row>
    <row r="294" spans="2:11" x14ac:dyDescent="0.25">
      <c r="B294" s="41"/>
      <c r="C294" s="41"/>
      <c r="D294" s="41"/>
      <c r="E294" s="41"/>
      <c r="F294" s="41"/>
      <c r="G294" s="41"/>
      <c r="H294" s="41"/>
      <c r="I294" s="41"/>
      <c r="J294" s="41"/>
      <c r="K294" s="41"/>
    </row>
    <row r="295" spans="2:11" x14ac:dyDescent="0.25">
      <c r="B295" s="41"/>
      <c r="C295" s="41"/>
      <c r="D295" s="41"/>
      <c r="E295" s="41"/>
      <c r="F295" s="41"/>
      <c r="G295" s="41"/>
      <c r="H295" s="41"/>
      <c r="I295" s="41"/>
      <c r="J295" s="41"/>
      <c r="K295" s="41"/>
    </row>
    <row r="296" spans="2:11" x14ac:dyDescent="0.25">
      <c r="B296" s="41"/>
      <c r="C296" s="41"/>
      <c r="D296" s="41"/>
      <c r="E296" s="41"/>
      <c r="F296" s="41"/>
      <c r="G296" s="41"/>
      <c r="H296" s="41"/>
      <c r="I296" s="41"/>
      <c r="J296" s="41"/>
      <c r="K296" s="41"/>
    </row>
    <row r="297" spans="2:11" x14ac:dyDescent="0.25">
      <c r="B297" s="41"/>
      <c r="C297" s="41"/>
      <c r="D297" s="41"/>
      <c r="E297" s="41"/>
      <c r="F297" s="41"/>
      <c r="G297" s="41"/>
      <c r="H297" s="41"/>
      <c r="I297" s="41"/>
      <c r="J297" s="41"/>
      <c r="K297" s="41"/>
    </row>
    <row r="298" spans="2:11" x14ac:dyDescent="0.25">
      <c r="B298" s="41"/>
      <c r="C298" s="41"/>
      <c r="D298" s="41"/>
      <c r="E298" s="41"/>
      <c r="F298" s="41"/>
      <c r="G298" s="41"/>
      <c r="H298" s="41"/>
      <c r="I298" s="41"/>
      <c r="J298" s="41"/>
      <c r="K298" s="41"/>
    </row>
    <row r="299" spans="2:11" x14ac:dyDescent="0.25">
      <c r="B299" s="41"/>
      <c r="C299" s="41"/>
      <c r="D299" s="41"/>
      <c r="E299" s="41"/>
      <c r="F299" s="41"/>
      <c r="G299" s="41"/>
      <c r="H299" s="41"/>
      <c r="I299" s="41"/>
      <c r="J299" s="41"/>
      <c r="K299" s="41"/>
    </row>
    <row r="300" spans="2:11" x14ac:dyDescent="0.25">
      <c r="B300" s="41"/>
      <c r="C300" s="41"/>
      <c r="D300" s="41"/>
      <c r="E300" s="41"/>
      <c r="F300" s="41"/>
      <c r="G300" s="41"/>
      <c r="H300" s="41"/>
      <c r="I300" s="41"/>
      <c r="J300" s="41"/>
      <c r="K300" s="41"/>
    </row>
    <row r="301" spans="2:11" x14ac:dyDescent="0.25">
      <c r="B301" s="41"/>
      <c r="C301" s="41"/>
      <c r="D301" s="41"/>
      <c r="E301" s="41"/>
      <c r="F301" s="41"/>
      <c r="G301" s="41"/>
      <c r="H301" s="41"/>
      <c r="I301" s="41"/>
      <c r="J301" s="41"/>
      <c r="K301" s="41"/>
    </row>
    <row r="302" spans="2:11" x14ac:dyDescent="0.25">
      <c r="B302" s="41"/>
      <c r="C302" s="41"/>
      <c r="D302" s="41"/>
      <c r="E302" s="41"/>
      <c r="F302" s="41"/>
      <c r="G302" s="41"/>
      <c r="H302" s="41"/>
      <c r="I302" s="41"/>
      <c r="J302" s="41"/>
      <c r="K302" s="41"/>
    </row>
    <row r="303" spans="2:11" x14ac:dyDescent="0.25">
      <c r="B303" s="41"/>
      <c r="C303" s="41"/>
      <c r="D303" s="41"/>
      <c r="E303" s="41"/>
      <c r="F303" s="41"/>
      <c r="G303" s="41"/>
      <c r="H303" s="41"/>
      <c r="I303" s="41"/>
      <c r="J303" s="41"/>
      <c r="K303" s="41"/>
    </row>
    <row r="304" spans="2:11" x14ac:dyDescent="0.25">
      <c r="B304" s="41"/>
      <c r="C304" s="41"/>
      <c r="D304" s="41"/>
      <c r="E304" s="41"/>
      <c r="F304" s="41"/>
      <c r="G304" s="41"/>
      <c r="H304" s="41"/>
      <c r="I304" s="41"/>
      <c r="J304" s="41"/>
      <c r="K304" s="41"/>
    </row>
    <row r="305" spans="2:11" x14ac:dyDescent="0.25">
      <c r="B305" s="41"/>
      <c r="C305" s="41"/>
      <c r="D305" s="41"/>
      <c r="E305" s="41"/>
      <c r="F305" s="41"/>
      <c r="G305" s="41"/>
      <c r="H305" s="41"/>
      <c r="I305" s="41"/>
      <c r="J305" s="41"/>
      <c r="K305" s="41"/>
    </row>
    <row r="306" spans="2:11" x14ac:dyDescent="0.25">
      <c r="B306" s="41"/>
      <c r="C306" s="41"/>
      <c r="D306" s="41"/>
      <c r="E306" s="41"/>
      <c r="F306" s="41"/>
      <c r="G306" s="41"/>
      <c r="H306" s="41"/>
      <c r="I306" s="41"/>
      <c r="J306" s="41"/>
      <c r="K306" s="41"/>
    </row>
    <row r="307" spans="2:11" x14ac:dyDescent="0.25">
      <c r="B307" s="41"/>
      <c r="C307" s="41"/>
      <c r="D307" s="41"/>
      <c r="E307" s="41"/>
      <c r="F307" s="41"/>
      <c r="G307" s="41"/>
      <c r="H307" s="41"/>
      <c r="I307" s="41"/>
      <c r="J307" s="41"/>
      <c r="K307" s="41"/>
    </row>
    <row r="308" spans="2:11" x14ac:dyDescent="0.25">
      <c r="B308" s="41"/>
      <c r="C308" s="41"/>
      <c r="D308" s="41"/>
      <c r="E308" s="41"/>
      <c r="F308" s="41"/>
      <c r="G308" s="41"/>
      <c r="H308" s="41"/>
      <c r="I308" s="41"/>
      <c r="J308" s="41"/>
      <c r="K308" s="41"/>
    </row>
    <row r="309" spans="2:11" x14ac:dyDescent="0.25">
      <c r="B309" s="41"/>
      <c r="C309" s="41"/>
      <c r="D309" s="41"/>
      <c r="E309" s="41"/>
      <c r="F309" s="41"/>
      <c r="G309" s="41"/>
      <c r="H309" s="41"/>
      <c r="I309" s="41"/>
      <c r="J309" s="41"/>
      <c r="K309" s="41"/>
    </row>
    <row r="310" spans="2:11" x14ac:dyDescent="0.25">
      <c r="B310" s="41"/>
      <c r="C310" s="41"/>
      <c r="D310" s="41"/>
      <c r="E310" s="41"/>
      <c r="F310" s="41"/>
      <c r="G310" s="41"/>
      <c r="H310" s="41"/>
      <c r="I310" s="41"/>
      <c r="J310" s="41"/>
      <c r="K310" s="41"/>
    </row>
    <row r="311" spans="2:11" x14ac:dyDescent="0.25">
      <c r="B311" s="41"/>
      <c r="C311" s="41"/>
      <c r="D311" s="41"/>
      <c r="E311" s="41"/>
      <c r="F311" s="41"/>
      <c r="G311" s="41"/>
      <c r="H311" s="41"/>
      <c r="I311" s="41"/>
      <c r="J311" s="41"/>
      <c r="K311" s="41"/>
    </row>
    <row r="312" spans="2:11" x14ac:dyDescent="0.25">
      <c r="B312" s="41"/>
      <c r="C312" s="41"/>
      <c r="D312" s="41"/>
      <c r="E312" s="41"/>
      <c r="F312" s="41"/>
      <c r="G312" s="41"/>
      <c r="H312" s="41"/>
      <c r="I312" s="41"/>
      <c r="J312" s="41"/>
      <c r="K312" s="41"/>
    </row>
    <row r="313" spans="2:11" x14ac:dyDescent="0.25">
      <c r="B313" s="41"/>
      <c r="C313" s="41"/>
      <c r="D313" s="41"/>
      <c r="E313" s="41"/>
      <c r="F313" s="41"/>
      <c r="G313" s="41"/>
      <c r="H313" s="41"/>
      <c r="I313" s="41"/>
      <c r="J313" s="41"/>
      <c r="K313" s="41"/>
    </row>
    <row r="314" spans="2:11" x14ac:dyDescent="0.25">
      <c r="B314" s="41"/>
      <c r="C314" s="41"/>
      <c r="D314" s="41"/>
      <c r="E314" s="41"/>
      <c r="F314" s="41"/>
      <c r="G314" s="41"/>
      <c r="H314" s="41"/>
      <c r="I314" s="41"/>
      <c r="J314" s="41"/>
      <c r="K314" s="41"/>
    </row>
    <row r="315" spans="2:11" x14ac:dyDescent="0.25">
      <c r="B315" s="41"/>
      <c r="C315" s="41"/>
      <c r="D315" s="41"/>
      <c r="E315" s="41"/>
      <c r="F315" s="41"/>
      <c r="G315" s="41"/>
      <c r="H315" s="41"/>
      <c r="I315" s="41"/>
      <c r="J315" s="41"/>
      <c r="K315" s="41"/>
    </row>
    <row r="316" spans="2:11" x14ac:dyDescent="0.25">
      <c r="B316" s="41"/>
      <c r="C316" s="41"/>
      <c r="D316" s="41"/>
      <c r="E316" s="41"/>
      <c r="F316" s="41"/>
      <c r="G316" s="41"/>
      <c r="H316" s="41"/>
      <c r="I316" s="41"/>
      <c r="J316" s="41"/>
      <c r="K316" s="41"/>
    </row>
    <row r="317" spans="2:11" x14ac:dyDescent="0.25">
      <c r="B317" s="41"/>
      <c r="C317" s="41"/>
      <c r="D317" s="41"/>
      <c r="E317" s="41"/>
      <c r="F317" s="41"/>
      <c r="G317" s="41"/>
      <c r="H317" s="41"/>
      <c r="I317" s="41"/>
      <c r="J317" s="41"/>
      <c r="K317" s="41"/>
    </row>
    <row r="318" spans="2:11" x14ac:dyDescent="0.25">
      <c r="B318" s="41"/>
      <c r="C318" s="41"/>
      <c r="D318" s="41"/>
      <c r="E318" s="41"/>
      <c r="F318" s="41"/>
      <c r="G318" s="41"/>
      <c r="H318" s="41"/>
      <c r="I318" s="41"/>
      <c r="J318" s="41"/>
      <c r="K318" s="41"/>
    </row>
    <row r="319" spans="2:11" x14ac:dyDescent="0.25">
      <c r="B319" s="41"/>
      <c r="C319" s="41"/>
      <c r="D319" s="41"/>
      <c r="E319" s="41"/>
      <c r="F319" s="41"/>
      <c r="G319" s="41"/>
      <c r="H319" s="41"/>
      <c r="I319" s="41"/>
      <c r="J319" s="41"/>
      <c r="K319" s="41"/>
    </row>
    <row r="320" spans="2:11" x14ac:dyDescent="0.25">
      <c r="B320" s="41"/>
      <c r="C320" s="41"/>
      <c r="D320" s="41"/>
      <c r="E320" s="41"/>
      <c r="F320" s="41"/>
      <c r="G320" s="41"/>
      <c r="H320" s="41"/>
      <c r="I320" s="41"/>
      <c r="J320" s="41"/>
      <c r="K320" s="41"/>
    </row>
    <row r="321" spans="2:11" x14ac:dyDescent="0.25">
      <c r="B321" s="41"/>
      <c r="C321" s="41"/>
      <c r="D321" s="41"/>
      <c r="E321" s="41"/>
      <c r="F321" s="41"/>
      <c r="G321" s="41"/>
      <c r="H321" s="41"/>
      <c r="I321" s="41"/>
      <c r="J321" s="41"/>
      <c r="K321" s="41"/>
    </row>
    <row r="322" spans="2:11" x14ac:dyDescent="0.25">
      <c r="B322" s="41"/>
      <c r="C322" s="41"/>
      <c r="D322" s="41"/>
      <c r="E322" s="41"/>
      <c r="F322" s="41"/>
      <c r="G322" s="41"/>
      <c r="H322" s="41"/>
      <c r="I322" s="41"/>
      <c r="J322" s="41"/>
      <c r="K322" s="41"/>
    </row>
    <row r="323" spans="2:11" x14ac:dyDescent="0.25">
      <c r="B323" s="41"/>
      <c r="C323" s="41"/>
      <c r="D323" s="41"/>
      <c r="E323" s="41"/>
      <c r="F323" s="41"/>
      <c r="G323" s="41"/>
      <c r="H323" s="41"/>
      <c r="I323" s="41"/>
      <c r="J323" s="41"/>
      <c r="K323" s="41"/>
    </row>
    <row r="324" spans="2:11" x14ac:dyDescent="0.25">
      <c r="B324" s="41"/>
      <c r="C324" s="41"/>
      <c r="D324" s="41"/>
      <c r="E324" s="41"/>
      <c r="F324" s="41"/>
      <c r="G324" s="41"/>
      <c r="H324" s="41"/>
      <c r="I324" s="41"/>
      <c r="J324" s="41"/>
      <c r="K324" s="41"/>
    </row>
    <row r="325" spans="2:11" x14ac:dyDescent="0.25">
      <c r="B325" s="41"/>
      <c r="C325" s="41"/>
      <c r="D325" s="41"/>
      <c r="E325" s="41"/>
      <c r="F325" s="41"/>
      <c r="G325" s="41"/>
      <c r="H325" s="41"/>
      <c r="I325" s="41"/>
      <c r="J325" s="41"/>
      <c r="K325" s="41"/>
    </row>
    <row r="326" spans="2:11" x14ac:dyDescent="0.25">
      <c r="B326" s="41"/>
      <c r="C326" s="41"/>
      <c r="D326" s="41"/>
      <c r="E326" s="41"/>
      <c r="F326" s="41"/>
      <c r="G326" s="41"/>
      <c r="H326" s="41"/>
      <c r="I326" s="41"/>
      <c r="J326" s="41"/>
      <c r="K326" s="41"/>
    </row>
    <row r="327" spans="2:11" x14ac:dyDescent="0.25">
      <c r="B327" s="41"/>
      <c r="C327" s="41"/>
      <c r="D327" s="41"/>
      <c r="E327" s="41"/>
      <c r="F327" s="41"/>
      <c r="G327" s="41"/>
      <c r="H327" s="41"/>
      <c r="I327" s="41"/>
      <c r="J327" s="41"/>
      <c r="K327" s="41"/>
    </row>
    <row r="328" spans="2:11" x14ac:dyDescent="0.25">
      <c r="B328" s="41"/>
      <c r="C328" s="41"/>
      <c r="D328" s="41"/>
      <c r="E328" s="41"/>
      <c r="F328" s="41"/>
      <c r="G328" s="41"/>
      <c r="H328" s="41"/>
      <c r="I328" s="41"/>
      <c r="J328" s="41"/>
      <c r="K328" s="41"/>
    </row>
    <row r="329" spans="2:11" x14ac:dyDescent="0.25">
      <c r="B329" s="41"/>
      <c r="C329" s="41"/>
      <c r="D329" s="41"/>
      <c r="E329" s="41"/>
      <c r="F329" s="41"/>
      <c r="G329" s="41"/>
      <c r="H329" s="41"/>
      <c r="I329" s="41"/>
      <c r="J329" s="41"/>
      <c r="K329" s="41"/>
    </row>
    <row r="330" spans="2:11" x14ac:dyDescent="0.25">
      <c r="B330" s="41"/>
      <c r="C330" s="41"/>
      <c r="D330" s="41"/>
      <c r="E330" s="41"/>
      <c r="F330" s="41"/>
      <c r="G330" s="41"/>
      <c r="H330" s="41"/>
      <c r="I330" s="41"/>
      <c r="J330" s="41"/>
      <c r="K330" s="41"/>
    </row>
    <row r="331" spans="2:11" x14ac:dyDescent="0.25">
      <c r="B331" s="41"/>
      <c r="C331" s="41"/>
      <c r="D331" s="41"/>
      <c r="E331" s="41"/>
      <c r="F331" s="41"/>
      <c r="G331" s="41"/>
      <c r="H331" s="41"/>
      <c r="I331" s="41"/>
      <c r="J331" s="41"/>
      <c r="K331" s="41"/>
    </row>
    <row r="332" spans="2:11" x14ac:dyDescent="0.25">
      <c r="B332" s="41"/>
      <c r="C332" s="41"/>
      <c r="D332" s="41"/>
      <c r="E332" s="41"/>
      <c r="F332" s="41"/>
      <c r="G332" s="41"/>
      <c r="H332" s="41"/>
      <c r="I332" s="41"/>
      <c r="J332" s="41"/>
      <c r="K332" s="41"/>
    </row>
    <row r="333" spans="2:11" x14ac:dyDescent="0.25">
      <c r="B333" s="41"/>
      <c r="C333" s="41"/>
      <c r="D333" s="41"/>
      <c r="E333" s="41"/>
      <c r="F333" s="41"/>
      <c r="G333" s="41"/>
      <c r="H333" s="41"/>
      <c r="I333" s="41"/>
      <c r="J333" s="41"/>
      <c r="K333" s="41"/>
    </row>
    <row r="334" spans="2:11" x14ac:dyDescent="0.25">
      <c r="B334" s="41"/>
      <c r="C334" s="41"/>
      <c r="D334" s="41"/>
      <c r="E334" s="41"/>
      <c r="F334" s="41"/>
      <c r="G334" s="41"/>
      <c r="H334" s="41"/>
      <c r="I334" s="41"/>
      <c r="J334" s="41"/>
      <c r="K334" s="41"/>
    </row>
    <row r="335" spans="2:11" x14ac:dyDescent="0.25">
      <c r="B335" s="41"/>
      <c r="C335" s="41"/>
      <c r="D335" s="41"/>
      <c r="E335" s="41"/>
      <c r="F335" s="41"/>
      <c r="G335" s="41"/>
      <c r="H335" s="41"/>
      <c r="I335" s="41"/>
      <c r="J335" s="41"/>
      <c r="K335" s="41"/>
    </row>
    <row r="336" spans="2:11" x14ac:dyDescent="0.25">
      <c r="B336" s="41"/>
      <c r="C336" s="41"/>
      <c r="D336" s="41"/>
      <c r="E336" s="41"/>
      <c r="F336" s="41"/>
      <c r="G336" s="41"/>
      <c r="H336" s="41"/>
      <c r="I336" s="41"/>
      <c r="J336" s="41"/>
      <c r="K336" s="41"/>
    </row>
    <row r="337" spans="2:11" x14ac:dyDescent="0.25">
      <c r="B337" s="41"/>
      <c r="C337" s="41"/>
      <c r="D337" s="41"/>
      <c r="E337" s="41"/>
      <c r="F337" s="41"/>
      <c r="G337" s="41"/>
      <c r="H337" s="41"/>
      <c r="I337" s="41"/>
      <c r="J337" s="41"/>
      <c r="K337" s="41"/>
    </row>
    <row r="338" spans="2:11" x14ac:dyDescent="0.25">
      <c r="B338" s="41"/>
      <c r="C338" s="41"/>
      <c r="D338" s="41"/>
      <c r="E338" s="41"/>
      <c r="F338" s="41"/>
      <c r="G338" s="41"/>
      <c r="H338" s="41"/>
      <c r="I338" s="41"/>
      <c r="J338" s="41"/>
      <c r="K338" s="41"/>
    </row>
    <row r="339" spans="2:11" x14ac:dyDescent="0.25">
      <c r="B339" s="41"/>
      <c r="C339" s="41"/>
      <c r="D339" s="41"/>
      <c r="E339" s="41"/>
      <c r="F339" s="41"/>
      <c r="G339" s="41"/>
      <c r="H339" s="41"/>
      <c r="I339" s="41"/>
      <c r="J339" s="41"/>
      <c r="K339" s="41"/>
    </row>
    <row r="340" spans="2:11" x14ac:dyDescent="0.25">
      <c r="B340" s="41"/>
      <c r="C340" s="41"/>
      <c r="D340" s="41"/>
      <c r="E340" s="41"/>
      <c r="F340" s="41"/>
      <c r="G340" s="41"/>
      <c r="H340" s="41"/>
      <c r="I340" s="41"/>
      <c r="J340" s="41"/>
      <c r="K340" s="41"/>
    </row>
    <row r="341" spans="2:11" x14ac:dyDescent="0.25">
      <c r="B341" s="41"/>
      <c r="C341" s="41"/>
      <c r="D341" s="41"/>
      <c r="E341" s="41"/>
      <c r="F341" s="41"/>
      <c r="G341" s="41"/>
      <c r="H341" s="41"/>
      <c r="I341" s="41"/>
      <c r="J341" s="41"/>
      <c r="K341" s="41"/>
    </row>
    <row r="342" spans="2:11" x14ac:dyDescent="0.25">
      <c r="B342" s="41"/>
      <c r="C342" s="41"/>
      <c r="D342" s="41"/>
      <c r="E342" s="41"/>
      <c r="F342" s="41"/>
      <c r="G342" s="41"/>
      <c r="H342" s="41"/>
      <c r="I342" s="41"/>
      <c r="J342" s="41"/>
      <c r="K342" s="41"/>
    </row>
    <row r="343" spans="2:11" x14ac:dyDescent="0.25">
      <c r="B343" s="41"/>
      <c r="C343" s="41"/>
      <c r="D343" s="41"/>
      <c r="E343" s="41"/>
      <c r="F343" s="41"/>
      <c r="G343" s="41"/>
      <c r="H343" s="41"/>
      <c r="I343" s="41"/>
      <c r="J343" s="41"/>
      <c r="K343" s="41"/>
    </row>
    <row r="344" spans="2:11" x14ac:dyDescent="0.25">
      <c r="B344" s="41"/>
      <c r="C344" s="41"/>
      <c r="D344" s="41"/>
      <c r="E344" s="41"/>
      <c r="F344" s="41"/>
      <c r="G344" s="41"/>
      <c r="H344" s="41"/>
      <c r="I344" s="41"/>
      <c r="J344" s="41"/>
      <c r="K344" s="41"/>
    </row>
    <row r="345" spans="2:11" x14ac:dyDescent="0.25">
      <c r="B345" s="41"/>
      <c r="C345" s="41"/>
      <c r="D345" s="41"/>
      <c r="E345" s="41"/>
      <c r="F345" s="41"/>
      <c r="G345" s="41"/>
      <c r="H345" s="41"/>
      <c r="I345" s="41"/>
      <c r="J345" s="41"/>
      <c r="K345" s="41"/>
    </row>
    <row r="346" spans="2:11" x14ac:dyDescent="0.25">
      <c r="B346" s="41"/>
      <c r="C346" s="41"/>
      <c r="D346" s="41"/>
      <c r="E346" s="41"/>
      <c r="F346" s="41"/>
      <c r="G346" s="41"/>
      <c r="H346" s="41"/>
      <c r="I346" s="41"/>
      <c r="J346" s="41"/>
      <c r="K346" s="41"/>
    </row>
    <row r="347" spans="2:11" x14ac:dyDescent="0.25">
      <c r="B347" s="41"/>
      <c r="C347" s="41"/>
      <c r="D347" s="41"/>
      <c r="E347" s="41"/>
      <c r="F347" s="41"/>
      <c r="G347" s="41"/>
      <c r="H347" s="41"/>
      <c r="I347" s="41"/>
      <c r="J347" s="41"/>
      <c r="K347" s="41"/>
    </row>
    <row r="348" spans="2:11" x14ac:dyDescent="0.25">
      <c r="B348" s="41"/>
      <c r="C348" s="41"/>
      <c r="D348" s="41"/>
      <c r="E348" s="41"/>
      <c r="F348" s="41"/>
      <c r="G348" s="41"/>
      <c r="H348" s="41"/>
      <c r="I348" s="41"/>
      <c r="J348" s="41"/>
      <c r="K348" s="41"/>
    </row>
    <row r="349" spans="2:11" x14ac:dyDescent="0.25">
      <c r="B349" s="41"/>
      <c r="C349" s="41"/>
      <c r="D349" s="41"/>
      <c r="E349" s="41"/>
      <c r="F349" s="41"/>
      <c r="G349" s="41"/>
      <c r="H349" s="41"/>
      <c r="I349" s="41"/>
      <c r="J349" s="41"/>
      <c r="K349" s="41"/>
    </row>
    <row r="350" spans="2:11" x14ac:dyDescent="0.25">
      <c r="B350" s="41"/>
      <c r="C350" s="41"/>
      <c r="D350" s="41"/>
      <c r="E350" s="41"/>
      <c r="F350" s="41"/>
      <c r="G350" s="41"/>
      <c r="H350" s="41"/>
      <c r="I350" s="41"/>
      <c r="J350" s="41"/>
      <c r="K350" s="41"/>
    </row>
    <row r="351" spans="2:11" x14ac:dyDescent="0.25">
      <c r="B351" s="41"/>
      <c r="C351" s="41"/>
      <c r="D351" s="41"/>
      <c r="E351" s="41"/>
      <c r="F351" s="41"/>
      <c r="G351" s="41"/>
      <c r="H351" s="41"/>
      <c r="I351" s="41"/>
      <c r="J351" s="41"/>
      <c r="K351" s="41"/>
    </row>
    <row r="352" spans="2:11" x14ac:dyDescent="0.25">
      <c r="B352" s="41"/>
      <c r="C352" s="41"/>
      <c r="D352" s="41"/>
      <c r="E352" s="41"/>
      <c r="F352" s="41"/>
      <c r="G352" s="41"/>
      <c r="H352" s="41"/>
      <c r="I352" s="41"/>
      <c r="J352" s="41"/>
      <c r="K352" s="41"/>
    </row>
    <row r="353" spans="2:11" x14ac:dyDescent="0.25">
      <c r="B353" s="41"/>
      <c r="C353" s="41"/>
      <c r="D353" s="41"/>
      <c r="E353" s="41"/>
      <c r="F353" s="41"/>
      <c r="G353" s="41"/>
      <c r="H353" s="41"/>
      <c r="I353" s="41"/>
      <c r="J353" s="41"/>
      <c r="K353" s="41"/>
    </row>
    <row r="354" spans="2:11" x14ac:dyDescent="0.25">
      <c r="B354" s="41"/>
      <c r="C354" s="41"/>
      <c r="D354" s="41"/>
      <c r="E354" s="41"/>
      <c r="F354" s="41"/>
      <c r="G354" s="41"/>
      <c r="H354" s="41"/>
      <c r="I354" s="41"/>
      <c r="J354" s="41"/>
      <c r="K354" s="41"/>
    </row>
    <row r="355" spans="2:11" x14ac:dyDescent="0.25">
      <c r="B355" s="41"/>
      <c r="C355" s="41"/>
      <c r="D355" s="41"/>
      <c r="E355" s="41"/>
      <c r="F355" s="41"/>
      <c r="G355" s="41"/>
      <c r="H355" s="41"/>
      <c r="I355" s="41"/>
      <c r="J355" s="41"/>
      <c r="K355" s="41"/>
    </row>
    <row r="356" spans="2:11" x14ac:dyDescent="0.25">
      <c r="B356" s="41"/>
      <c r="C356" s="41"/>
      <c r="D356" s="41"/>
      <c r="E356" s="41"/>
      <c r="F356" s="41"/>
      <c r="G356" s="41"/>
      <c r="H356" s="41"/>
      <c r="I356" s="41"/>
      <c r="J356" s="41"/>
      <c r="K356" s="41"/>
    </row>
    <row r="357" spans="2:11" x14ac:dyDescent="0.25">
      <c r="B357" s="41"/>
      <c r="C357" s="41"/>
      <c r="D357" s="41"/>
      <c r="E357" s="41"/>
      <c r="F357" s="41"/>
      <c r="G357" s="41"/>
      <c r="H357" s="41"/>
      <c r="I357" s="41"/>
      <c r="J357" s="41"/>
      <c r="K357" s="41"/>
    </row>
    <row r="358" spans="2:11" x14ac:dyDescent="0.25">
      <c r="B358" s="41"/>
      <c r="C358" s="41"/>
      <c r="D358" s="41"/>
      <c r="E358" s="41"/>
      <c r="F358" s="41"/>
      <c r="G358" s="41"/>
      <c r="H358" s="41"/>
      <c r="I358" s="41"/>
      <c r="J358" s="41"/>
      <c r="K358" s="41"/>
    </row>
    <row r="359" spans="2:11" x14ac:dyDescent="0.25">
      <c r="B359" s="41"/>
      <c r="C359" s="41"/>
      <c r="D359" s="41"/>
      <c r="E359" s="41"/>
      <c r="F359" s="41"/>
      <c r="G359" s="41"/>
      <c r="H359" s="41"/>
      <c r="I359" s="41"/>
      <c r="J359" s="41"/>
      <c r="K359" s="41"/>
    </row>
    <row r="360" spans="2:11" x14ac:dyDescent="0.25">
      <c r="B360" s="41"/>
      <c r="C360" s="41"/>
      <c r="D360" s="41"/>
      <c r="E360" s="41"/>
      <c r="F360" s="41"/>
      <c r="G360" s="41"/>
      <c r="H360" s="41"/>
      <c r="I360" s="41"/>
      <c r="J360" s="41"/>
      <c r="K360" s="41"/>
    </row>
    <row r="361" spans="2:11" x14ac:dyDescent="0.25">
      <c r="B361" s="41"/>
      <c r="C361" s="41"/>
      <c r="D361" s="41"/>
      <c r="E361" s="41"/>
      <c r="F361" s="41"/>
      <c r="G361" s="41"/>
      <c r="H361" s="41"/>
      <c r="I361" s="41"/>
      <c r="J361" s="41"/>
      <c r="K361" s="41"/>
    </row>
    <row r="362" spans="2:11" x14ac:dyDescent="0.25">
      <c r="B362" s="41"/>
      <c r="C362" s="41"/>
      <c r="D362" s="41"/>
      <c r="E362" s="41"/>
      <c r="F362" s="41"/>
      <c r="G362" s="41"/>
      <c r="H362" s="41"/>
      <c r="I362" s="41"/>
      <c r="J362" s="41"/>
      <c r="K362" s="41"/>
    </row>
    <row r="363" spans="2:11" x14ac:dyDescent="0.25">
      <c r="B363" s="41"/>
      <c r="C363" s="41"/>
      <c r="D363" s="41"/>
      <c r="E363" s="41"/>
      <c r="F363" s="41"/>
      <c r="G363" s="41"/>
      <c r="H363" s="41"/>
      <c r="I363" s="41"/>
      <c r="J363" s="41"/>
      <c r="K363" s="41"/>
    </row>
    <row r="364" spans="2:11" x14ac:dyDescent="0.25">
      <c r="B364" s="41"/>
      <c r="C364" s="41"/>
      <c r="D364" s="41"/>
      <c r="E364" s="41"/>
      <c r="F364" s="41"/>
      <c r="G364" s="41"/>
      <c r="H364" s="41"/>
      <c r="I364" s="41"/>
      <c r="J364" s="41"/>
      <c r="K364" s="41"/>
    </row>
    <row r="365" spans="2:11" x14ac:dyDescent="0.25">
      <c r="B365" s="41"/>
      <c r="C365" s="41"/>
      <c r="D365" s="41"/>
      <c r="E365" s="41"/>
      <c r="F365" s="41"/>
      <c r="G365" s="41"/>
      <c r="H365" s="41"/>
      <c r="I365" s="41"/>
      <c r="J365" s="41"/>
      <c r="K365" s="41"/>
    </row>
    <row r="366" spans="2:11" x14ac:dyDescent="0.25">
      <c r="B366" s="41"/>
      <c r="C366" s="41"/>
      <c r="D366" s="41"/>
      <c r="E366" s="41"/>
      <c r="F366" s="41"/>
      <c r="G366" s="41"/>
      <c r="H366" s="41"/>
      <c r="I366" s="41"/>
      <c r="J366" s="41"/>
      <c r="K366" s="41"/>
    </row>
    <row r="367" spans="2:11" x14ac:dyDescent="0.25">
      <c r="B367" s="41"/>
      <c r="C367" s="41"/>
      <c r="D367" s="41"/>
      <c r="E367" s="41"/>
      <c r="F367" s="41"/>
      <c r="G367" s="41"/>
      <c r="H367" s="41"/>
      <c r="I367" s="41"/>
      <c r="J367" s="41"/>
      <c r="K367" s="41"/>
    </row>
    <row r="368" spans="2:11" x14ac:dyDescent="0.25">
      <c r="B368" s="41"/>
      <c r="C368" s="41"/>
      <c r="D368" s="41"/>
      <c r="E368" s="41"/>
      <c r="F368" s="41"/>
      <c r="G368" s="41"/>
      <c r="H368" s="41"/>
      <c r="I368" s="41"/>
      <c r="J368" s="41"/>
      <c r="K368" s="41"/>
    </row>
    <row r="369" spans="2:11" x14ac:dyDescent="0.25">
      <c r="B369" s="41"/>
      <c r="C369" s="41"/>
      <c r="D369" s="41"/>
      <c r="E369" s="41"/>
      <c r="F369" s="41"/>
      <c r="G369" s="41"/>
      <c r="H369" s="41"/>
      <c r="I369" s="41"/>
      <c r="J369" s="41"/>
      <c r="K369" s="41"/>
    </row>
    <row r="370" spans="2:11" x14ac:dyDescent="0.25">
      <c r="B370" s="41"/>
      <c r="C370" s="41"/>
      <c r="D370" s="41"/>
      <c r="E370" s="41"/>
      <c r="F370" s="41"/>
      <c r="G370" s="41"/>
      <c r="H370" s="41"/>
      <c r="I370" s="41"/>
      <c r="J370" s="41"/>
      <c r="K370" s="41"/>
    </row>
    <row r="371" spans="2:11" x14ac:dyDescent="0.25">
      <c r="B371" s="41"/>
      <c r="C371" s="41"/>
      <c r="D371" s="41"/>
      <c r="E371" s="41"/>
      <c r="F371" s="41"/>
      <c r="G371" s="41"/>
      <c r="H371" s="41"/>
      <c r="I371" s="41"/>
      <c r="J371" s="41"/>
      <c r="K371" s="41"/>
    </row>
    <row r="372" spans="2:11" x14ac:dyDescent="0.25">
      <c r="B372" s="41"/>
      <c r="C372" s="41"/>
      <c r="D372" s="41"/>
      <c r="E372" s="41"/>
      <c r="F372" s="41"/>
      <c r="G372" s="41"/>
      <c r="H372" s="41"/>
      <c r="I372" s="41"/>
      <c r="J372" s="41"/>
      <c r="K372" s="41"/>
    </row>
    <row r="373" spans="2:11" x14ac:dyDescent="0.25">
      <c r="B373" s="41"/>
      <c r="C373" s="41"/>
      <c r="D373" s="41"/>
      <c r="E373" s="41"/>
      <c r="F373" s="41"/>
      <c r="G373" s="41"/>
      <c r="H373" s="41"/>
      <c r="I373" s="41"/>
      <c r="J373" s="41"/>
      <c r="K373" s="41"/>
    </row>
    <row r="374" spans="2:11" x14ac:dyDescent="0.25">
      <c r="B374" s="41"/>
      <c r="C374" s="41"/>
      <c r="D374" s="41"/>
      <c r="E374" s="41"/>
      <c r="F374" s="41"/>
      <c r="G374" s="41"/>
      <c r="H374" s="41"/>
      <c r="I374" s="41"/>
      <c r="J374" s="41"/>
      <c r="K374" s="41"/>
    </row>
    <row r="375" spans="2:11" x14ac:dyDescent="0.25">
      <c r="B375" s="41"/>
      <c r="C375" s="41"/>
      <c r="D375" s="41"/>
      <c r="E375" s="41"/>
      <c r="F375" s="41"/>
      <c r="G375" s="41"/>
      <c r="H375" s="41"/>
      <c r="I375" s="41"/>
      <c r="J375" s="41"/>
      <c r="K375" s="41"/>
    </row>
    <row r="376" spans="2:11" x14ac:dyDescent="0.25">
      <c r="B376" s="41"/>
      <c r="C376" s="41"/>
      <c r="D376" s="41"/>
      <c r="E376" s="41"/>
      <c r="F376" s="41"/>
      <c r="G376" s="41"/>
      <c r="H376" s="41"/>
      <c r="I376" s="41"/>
      <c r="J376" s="41"/>
      <c r="K376" s="41"/>
    </row>
    <row r="377" spans="2:11" x14ac:dyDescent="0.25">
      <c r="B377" s="41"/>
      <c r="C377" s="41"/>
      <c r="D377" s="41"/>
      <c r="E377" s="41"/>
      <c r="F377" s="41"/>
      <c r="G377" s="41"/>
      <c r="H377" s="41"/>
      <c r="I377" s="41"/>
      <c r="J377" s="41"/>
      <c r="K377" s="41"/>
    </row>
    <row r="378" spans="2:11" x14ac:dyDescent="0.25">
      <c r="B378" s="41"/>
      <c r="C378" s="41"/>
      <c r="D378" s="41"/>
      <c r="E378" s="41"/>
      <c r="F378" s="41"/>
      <c r="G378" s="41"/>
      <c r="H378" s="41"/>
      <c r="I378" s="41"/>
      <c r="J378" s="41"/>
      <c r="K378" s="41"/>
    </row>
    <row r="379" spans="2:11" x14ac:dyDescent="0.25">
      <c r="B379" s="41"/>
      <c r="C379" s="41"/>
      <c r="D379" s="41"/>
      <c r="E379" s="41"/>
      <c r="F379" s="41"/>
      <c r="G379" s="41"/>
      <c r="H379" s="41"/>
      <c r="I379" s="41"/>
      <c r="J379" s="41"/>
      <c r="K379" s="41"/>
    </row>
    <row r="380" spans="2:11" x14ac:dyDescent="0.25">
      <c r="B380" s="41"/>
      <c r="C380" s="41"/>
      <c r="D380" s="41"/>
      <c r="E380" s="41"/>
      <c r="F380" s="41"/>
      <c r="G380" s="41"/>
      <c r="H380" s="41"/>
      <c r="I380" s="41"/>
      <c r="J380" s="41"/>
      <c r="K380" s="41"/>
    </row>
    <row r="381" spans="2:11" x14ac:dyDescent="0.25">
      <c r="B381" s="41"/>
      <c r="C381" s="41"/>
      <c r="D381" s="41"/>
      <c r="E381" s="41"/>
      <c r="F381" s="41"/>
      <c r="G381" s="41"/>
      <c r="H381" s="41"/>
      <c r="I381" s="41"/>
      <c r="J381" s="41"/>
      <c r="K381" s="41"/>
    </row>
    <row r="382" spans="2:11" x14ac:dyDescent="0.25">
      <c r="B382" s="41"/>
      <c r="C382" s="41"/>
      <c r="D382" s="41"/>
      <c r="E382" s="41"/>
      <c r="F382" s="41"/>
      <c r="G382" s="41"/>
      <c r="H382" s="41"/>
      <c r="I382" s="41"/>
      <c r="J382" s="41"/>
      <c r="K382" s="41"/>
    </row>
    <row r="383" spans="2:11" x14ac:dyDescent="0.25">
      <c r="B383" s="41"/>
      <c r="C383" s="41"/>
      <c r="D383" s="41"/>
      <c r="E383" s="41"/>
      <c r="F383" s="41"/>
      <c r="G383" s="41"/>
      <c r="H383" s="41"/>
      <c r="I383" s="41"/>
      <c r="J383" s="41"/>
      <c r="K383" s="41"/>
    </row>
    <row r="384" spans="2:11" x14ac:dyDescent="0.25">
      <c r="B384" s="41"/>
      <c r="C384" s="41"/>
      <c r="D384" s="41"/>
      <c r="E384" s="41"/>
      <c r="F384" s="41"/>
      <c r="G384" s="41"/>
      <c r="H384" s="41"/>
      <c r="I384" s="41"/>
      <c r="J384" s="41"/>
      <c r="K384" s="41"/>
    </row>
    <row r="385" spans="2:11" x14ac:dyDescent="0.25">
      <c r="B385" s="41"/>
      <c r="C385" s="41"/>
      <c r="D385" s="41"/>
      <c r="E385" s="41"/>
      <c r="F385" s="41"/>
      <c r="G385" s="41"/>
      <c r="H385" s="41"/>
      <c r="I385" s="41"/>
      <c r="J385" s="41"/>
      <c r="K385" s="41"/>
    </row>
    <row r="386" spans="2:11" x14ac:dyDescent="0.25">
      <c r="B386" s="41"/>
      <c r="C386" s="41"/>
      <c r="D386" s="41"/>
      <c r="E386" s="41"/>
      <c r="F386" s="41"/>
      <c r="G386" s="41"/>
      <c r="H386" s="41"/>
      <c r="I386" s="41"/>
      <c r="J386" s="41"/>
      <c r="K386" s="41"/>
    </row>
    <row r="387" spans="2:11" x14ac:dyDescent="0.25">
      <c r="B387" s="41"/>
      <c r="C387" s="41"/>
      <c r="D387" s="41"/>
      <c r="E387" s="41"/>
      <c r="F387" s="41"/>
      <c r="G387" s="41"/>
      <c r="H387" s="41"/>
      <c r="I387" s="41"/>
      <c r="J387" s="41"/>
      <c r="K387" s="41"/>
    </row>
    <row r="388" spans="2:11" x14ac:dyDescent="0.25">
      <c r="B388" s="41"/>
      <c r="C388" s="41"/>
      <c r="D388" s="41"/>
      <c r="E388" s="41"/>
      <c r="F388" s="41"/>
      <c r="G388" s="41"/>
      <c r="H388" s="41"/>
      <c r="I388" s="41"/>
      <c r="J388" s="41"/>
      <c r="K388" s="41"/>
    </row>
    <row r="389" spans="2:11" x14ac:dyDescent="0.25">
      <c r="B389" s="41"/>
      <c r="C389" s="41"/>
      <c r="D389" s="41"/>
      <c r="E389" s="41"/>
      <c r="F389" s="41"/>
      <c r="G389" s="41"/>
      <c r="H389" s="41"/>
      <c r="I389" s="41"/>
      <c r="J389" s="41"/>
      <c r="K389" s="41"/>
    </row>
    <row r="390" spans="2:11" x14ac:dyDescent="0.25">
      <c r="B390" s="41"/>
      <c r="C390" s="41"/>
      <c r="D390" s="41"/>
      <c r="E390" s="41"/>
      <c r="F390" s="41"/>
      <c r="G390" s="41"/>
      <c r="H390" s="41"/>
      <c r="I390" s="41"/>
      <c r="J390" s="41"/>
      <c r="K390" s="41"/>
    </row>
    <row r="391" spans="2:11" x14ac:dyDescent="0.25">
      <c r="B391" s="41"/>
      <c r="C391" s="41"/>
      <c r="D391" s="41"/>
      <c r="E391" s="41"/>
      <c r="F391" s="41"/>
      <c r="G391" s="41"/>
      <c r="H391" s="41"/>
      <c r="I391" s="41"/>
      <c r="J391" s="41"/>
      <c r="K391" s="41"/>
    </row>
    <row r="392" spans="2:11" x14ac:dyDescent="0.25">
      <c r="B392" s="41"/>
      <c r="C392" s="41"/>
      <c r="D392" s="41"/>
      <c r="E392" s="41"/>
      <c r="F392" s="41"/>
      <c r="G392" s="41"/>
      <c r="H392" s="41"/>
      <c r="I392" s="41"/>
      <c r="J392" s="41"/>
      <c r="K392" s="41"/>
    </row>
    <row r="393" spans="2:11" x14ac:dyDescent="0.25">
      <c r="B393" s="41"/>
      <c r="C393" s="41"/>
      <c r="D393" s="41"/>
      <c r="E393" s="41"/>
      <c r="F393" s="41"/>
      <c r="G393" s="41"/>
      <c r="H393" s="41"/>
      <c r="I393" s="41"/>
      <c r="J393" s="41"/>
      <c r="K393" s="41"/>
    </row>
    <row r="394" spans="2:11" x14ac:dyDescent="0.25">
      <c r="B394" s="41"/>
      <c r="C394" s="41"/>
      <c r="D394" s="41"/>
      <c r="E394" s="41"/>
      <c r="F394" s="41"/>
      <c r="G394" s="41"/>
      <c r="H394" s="41"/>
      <c r="I394" s="41"/>
      <c r="J394" s="41"/>
      <c r="K394" s="41"/>
    </row>
    <row r="395" spans="2:11" x14ac:dyDescent="0.25">
      <c r="B395" s="41"/>
      <c r="C395" s="41"/>
      <c r="D395" s="41"/>
      <c r="E395" s="41"/>
      <c r="F395" s="41"/>
      <c r="G395" s="41"/>
      <c r="H395" s="41"/>
      <c r="I395" s="41"/>
      <c r="J395" s="41"/>
      <c r="K395" s="41"/>
    </row>
    <row r="396" spans="2:11" x14ac:dyDescent="0.25">
      <c r="B396" s="41"/>
      <c r="C396" s="41"/>
      <c r="D396" s="41"/>
      <c r="E396" s="41"/>
      <c r="F396" s="41"/>
      <c r="G396" s="41"/>
      <c r="H396" s="41"/>
      <c r="I396" s="41"/>
      <c r="J396" s="41"/>
      <c r="K396" s="41"/>
    </row>
    <row r="397" spans="2:11" x14ac:dyDescent="0.25">
      <c r="B397" s="41"/>
      <c r="C397" s="41"/>
      <c r="D397" s="41"/>
      <c r="E397" s="41"/>
      <c r="F397" s="41"/>
      <c r="G397" s="41"/>
      <c r="H397" s="41"/>
      <c r="I397" s="41"/>
      <c r="J397" s="41"/>
      <c r="K397" s="41"/>
    </row>
    <row r="398" spans="2:11" x14ac:dyDescent="0.25">
      <c r="B398" s="41"/>
      <c r="C398" s="41"/>
      <c r="D398" s="41"/>
      <c r="E398" s="41"/>
      <c r="F398" s="41"/>
      <c r="G398" s="41"/>
      <c r="H398" s="41"/>
      <c r="I398" s="41"/>
      <c r="J398" s="41"/>
      <c r="K398" s="41"/>
    </row>
    <row r="399" spans="2:11" x14ac:dyDescent="0.25">
      <c r="B399" s="41"/>
      <c r="C399" s="41"/>
      <c r="D399" s="41"/>
      <c r="E399" s="41"/>
      <c r="F399" s="41"/>
      <c r="G399" s="41"/>
      <c r="H399" s="41"/>
      <c r="I399" s="41"/>
      <c r="J399" s="41"/>
      <c r="K399" s="41"/>
    </row>
    <row r="400" spans="2:11" x14ac:dyDescent="0.25">
      <c r="B400" s="41"/>
      <c r="C400" s="41"/>
      <c r="D400" s="41"/>
      <c r="E400" s="41"/>
      <c r="F400" s="41"/>
      <c r="G400" s="41"/>
      <c r="H400" s="41"/>
      <c r="I400" s="41"/>
      <c r="J400" s="41"/>
      <c r="K400" s="41"/>
    </row>
    <row r="401" spans="2:11" x14ac:dyDescent="0.25">
      <c r="B401" s="41"/>
      <c r="C401" s="41"/>
      <c r="D401" s="41"/>
      <c r="E401" s="41"/>
      <c r="F401" s="41"/>
      <c r="G401" s="41"/>
      <c r="H401" s="41"/>
      <c r="I401" s="41"/>
      <c r="J401" s="41"/>
      <c r="K401" s="41"/>
    </row>
    <row r="402" spans="2:11" x14ac:dyDescent="0.25">
      <c r="B402" s="41"/>
      <c r="C402" s="41"/>
      <c r="D402" s="41"/>
      <c r="E402" s="41"/>
      <c r="F402" s="41"/>
      <c r="G402" s="41"/>
      <c r="H402" s="41"/>
      <c r="I402" s="41"/>
      <c r="J402" s="41"/>
      <c r="K402" s="41"/>
    </row>
    <row r="403" spans="2:11" x14ac:dyDescent="0.25">
      <c r="B403" s="41"/>
      <c r="C403" s="41"/>
      <c r="D403" s="41"/>
      <c r="E403" s="41"/>
      <c r="F403" s="41"/>
      <c r="G403" s="41"/>
      <c r="H403" s="41"/>
      <c r="I403" s="41"/>
      <c r="J403" s="41"/>
      <c r="K403" s="41"/>
    </row>
    <row r="404" spans="2:11" x14ac:dyDescent="0.25">
      <c r="B404" s="41"/>
      <c r="C404" s="41"/>
      <c r="D404" s="41"/>
      <c r="E404" s="41"/>
      <c r="F404" s="41"/>
      <c r="G404" s="41"/>
      <c r="H404" s="41"/>
      <c r="I404" s="41"/>
      <c r="J404" s="41"/>
      <c r="K404" s="41"/>
    </row>
    <row r="405" spans="2:11" x14ac:dyDescent="0.25">
      <c r="B405" s="41"/>
      <c r="C405" s="41"/>
      <c r="D405" s="41"/>
      <c r="E405" s="41"/>
      <c r="F405" s="41"/>
      <c r="G405" s="41"/>
      <c r="H405" s="41"/>
      <c r="I405" s="41"/>
      <c r="J405" s="41"/>
      <c r="K405" s="41"/>
    </row>
    <row r="406" spans="2:11" x14ac:dyDescent="0.25">
      <c r="B406" s="41"/>
      <c r="C406" s="41"/>
      <c r="D406" s="41"/>
      <c r="E406" s="41"/>
      <c r="F406" s="41"/>
      <c r="G406" s="41"/>
      <c r="H406" s="41"/>
      <c r="I406" s="41"/>
      <c r="J406" s="41"/>
      <c r="K406" s="41"/>
    </row>
    <row r="407" spans="2:11" x14ac:dyDescent="0.25">
      <c r="B407" s="41"/>
      <c r="C407" s="41"/>
      <c r="D407" s="41"/>
      <c r="E407" s="41"/>
      <c r="F407" s="41"/>
      <c r="G407" s="41"/>
      <c r="H407" s="41"/>
      <c r="I407" s="41"/>
      <c r="J407" s="41"/>
      <c r="K407" s="41"/>
    </row>
    <row r="408" spans="2:11" x14ac:dyDescent="0.25">
      <c r="B408" s="41"/>
      <c r="C408" s="41"/>
      <c r="D408" s="41"/>
      <c r="E408" s="41"/>
      <c r="F408" s="41"/>
      <c r="G408" s="41"/>
      <c r="H408" s="41"/>
      <c r="I408" s="41"/>
      <c r="J408" s="41"/>
      <c r="K408" s="41"/>
    </row>
    <row r="409" spans="2:11" x14ac:dyDescent="0.25">
      <c r="B409" s="41"/>
      <c r="C409" s="41"/>
      <c r="D409" s="41"/>
      <c r="E409" s="41"/>
      <c r="F409" s="41"/>
      <c r="G409" s="41"/>
      <c r="H409" s="41"/>
      <c r="I409" s="41"/>
      <c r="J409" s="41"/>
      <c r="K409" s="41"/>
    </row>
    <row r="410" spans="2:11" x14ac:dyDescent="0.25">
      <c r="B410" s="41"/>
      <c r="C410" s="41"/>
      <c r="D410" s="41"/>
      <c r="E410" s="41"/>
      <c r="F410" s="41"/>
      <c r="G410" s="41"/>
      <c r="H410" s="41"/>
      <c r="I410" s="41"/>
      <c r="J410" s="41"/>
      <c r="K410" s="41"/>
    </row>
    <row r="411" spans="2:11" x14ac:dyDescent="0.25">
      <c r="B411" s="41"/>
      <c r="C411" s="41"/>
      <c r="D411" s="41"/>
      <c r="E411" s="41"/>
      <c r="F411" s="41"/>
      <c r="G411" s="41"/>
      <c r="H411" s="41"/>
      <c r="I411" s="41"/>
      <c r="J411" s="41"/>
      <c r="K411" s="41"/>
    </row>
    <row r="412" spans="2:11" x14ac:dyDescent="0.25">
      <c r="B412" s="41"/>
      <c r="C412" s="41"/>
      <c r="D412" s="41"/>
      <c r="E412" s="41"/>
      <c r="F412" s="41"/>
      <c r="G412" s="41"/>
      <c r="H412" s="41"/>
      <c r="I412" s="41"/>
      <c r="J412" s="41"/>
      <c r="K412" s="41"/>
    </row>
    <row r="413" spans="2:11" x14ac:dyDescent="0.25">
      <c r="B413" s="41"/>
      <c r="C413" s="41"/>
      <c r="D413" s="41"/>
      <c r="E413" s="41"/>
      <c r="F413" s="41"/>
      <c r="G413" s="41"/>
      <c r="H413" s="41"/>
      <c r="I413" s="41"/>
      <c r="J413" s="41"/>
      <c r="K413" s="41"/>
    </row>
    <row r="414" spans="2:11" x14ac:dyDescent="0.25">
      <c r="B414" s="41"/>
      <c r="C414" s="41"/>
      <c r="D414" s="41"/>
      <c r="E414" s="41"/>
      <c r="F414" s="41"/>
      <c r="G414" s="41"/>
      <c r="H414" s="41"/>
      <c r="I414" s="41"/>
      <c r="J414" s="41"/>
      <c r="K414" s="41"/>
    </row>
    <row r="415" spans="2:11" x14ac:dyDescent="0.25">
      <c r="B415" s="41"/>
      <c r="C415" s="41"/>
      <c r="D415" s="41"/>
      <c r="E415" s="41"/>
      <c r="F415" s="41"/>
      <c r="G415" s="41"/>
      <c r="H415" s="41"/>
      <c r="I415" s="41"/>
      <c r="J415" s="41"/>
      <c r="K415" s="41"/>
    </row>
    <row r="416" spans="2:11" x14ac:dyDescent="0.25">
      <c r="B416" s="41"/>
      <c r="C416" s="41"/>
      <c r="D416" s="41"/>
      <c r="E416" s="41"/>
      <c r="F416" s="41"/>
      <c r="G416" s="41"/>
      <c r="H416" s="41"/>
      <c r="I416" s="41"/>
      <c r="J416" s="41"/>
      <c r="K416" s="41"/>
    </row>
    <row r="417" spans="2:11" x14ac:dyDescent="0.25">
      <c r="B417" s="41"/>
      <c r="C417" s="41"/>
      <c r="D417" s="41"/>
      <c r="E417" s="41"/>
      <c r="F417" s="41"/>
      <c r="G417" s="41"/>
      <c r="H417" s="41"/>
      <c r="I417" s="41"/>
      <c r="J417" s="41"/>
      <c r="K417" s="41"/>
    </row>
    <row r="418" spans="2:11" x14ac:dyDescent="0.25">
      <c r="B418" s="41"/>
      <c r="C418" s="41"/>
      <c r="D418" s="41"/>
      <c r="E418" s="41"/>
      <c r="F418" s="41"/>
      <c r="G418" s="41"/>
      <c r="H418" s="41"/>
      <c r="I418" s="41"/>
      <c r="J418" s="41"/>
      <c r="K418" s="41"/>
    </row>
    <row r="419" spans="2:11" x14ac:dyDescent="0.25">
      <c r="B419" s="41"/>
      <c r="C419" s="41"/>
      <c r="D419" s="41"/>
      <c r="E419" s="41"/>
      <c r="F419" s="41"/>
      <c r="G419" s="41"/>
      <c r="H419" s="41"/>
      <c r="I419" s="41"/>
      <c r="J419" s="41"/>
      <c r="K419" s="41"/>
    </row>
    <row r="420" spans="2:11" x14ac:dyDescent="0.25">
      <c r="B420" s="41"/>
      <c r="C420" s="41"/>
      <c r="D420" s="41"/>
      <c r="E420" s="41"/>
      <c r="F420" s="41"/>
      <c r="G420" s="41"/>
      <c r="H420" s="41"/>
      <c r="I420" s="41"/>
      <c r="J420" s="41"/>
      <c r="K420" s="41"/>
    </row>
    <row r="421" spans="2:11" x14ac:dyDescent="0.25">
      <c r="B421" s="41"/>
      <c r="C421" s="41"/>
      <c r="D421" s="41"/>
      <c r="E421" s="41"/>
      <c r="F421" s="41"/>
      <c r="G421" s="41"/>
      <c r="H421" s="41"/>
      <c r="I421" s="41"/>
      <c r="J421" s="41"/>
      <c r="K421" s="41"/>
    </row>
    <row r="422" spans="2:11" x14ac:dyDescent="0.25">
      <c r="B422" s="41"/>
      <c r="C422" s="41"/>
      <c r="D422" s="41"/>
      <c r="E422" s="41"/>
      <c r="F422" s="41"/>
      <c r="G422" s="41"/>
      <c r="H422" s="41"/>
      <c r="I422" s="41"/>
      <c r="J422" s="41"/>
      <c r="K422" s="41"/>
    </row>
    <row r="423" spans="2:11" x14ac:dyDescent="0.25">
      <c r="B423" s="41"/>
      <c r="C423" s="41"/>
      <c r="D423" s="41"/>
      <c r="E423" s="41"/>
      <c r="F423" s="41"/>
      <c r="G423" s="41"/>
      <c r="H423" s="41"/>
      <c r="I423" s="41"/>
      <c r="J423" s="41"/>
      <c r="K423" s="41"/>
    </row>
    <row r="424" spans="2:11" x14ac:dyDescent="0.25">
      <c r="B424" s="41"/>
      <c r="C424" s="41"/>
      <c r="D424" s="41"/>
      <c r="E424" s="41"/>
      <c r="F424" s="41"/>
      <c r="G424" s="41"/>
      <c r="H424" s="41"/>
      <c r="I424" s="41"/>
      <c r="J424" s="41"/>
      <c r="K424" s="41"/>
    </row>
    <row r="425" spans="2:11" x14ac:dyDescent="0.25">
      <c r="B425" s="41"/>
      <c r="C425" s="41"/>
      <c r="D425" s="41"/>
      <c r="E425" s="41"/>
      <c r="F425" s="41"/>
      <c r="G425" s="41"/>
      <c r="H425" s="41"/>
      <c r="I425" s="41"/>
      <c r="J425" s="41"/>
      <c r="K425" s="41"/>
    </row>
    <row r="426" spans="2:11" x14ac:dyDescent="0.25">
      <c r="B426" s="41"/>
      <c r="C426" s="41"/>
      <c r="D426" s="41"/>
      <c r="E426" s="41"/>
      <c r="F426" s="41"/>
      <c r="G426" s="41"/>
      <c r="H426" s="41"/>
      <c r="I426" s="41"/>
      <c r="J426" s="41"/>
      <c r="K426" s="41"/>
    </row>
    <row r="427" spans="2:11" x14ac:dyDescent="0.25">
      <c r="B427" s="41"/>
      <c r="C427" s="41"/>
      <c r="D427" s="41"/>
      <c r="E427" s="41"/>
      <c r="F427" s="41"/>
      <c r="G427" s="41"/>
      <c r="H427" s="41"/>
      <c r="I427" s="41"/>
      <c r="J427" s="41"/>
      <c r="K427" s="41"/>
    </row>
    <row r="428" spans="2:11" x14ac:dyDescent="0.25">
      <c r="B428" s="41"/>
      <c r="C428" s="41"/>
      <c r="D428" s="41"/>
      <c r="E428" s="41"/>
      <c r="F428" s="41"/>
      <c r="G428" s="41"/>
      <c r="H428" s="41"/>
      <c r="I428" s="41"/>
      <c r="J428" s="41"/>
      <c r="K428" s="41"/>
    </row>
    <row r="429" spans="2:11" x14ac:dyDescent="0.25">
      <c r="B429" s="41"/>
      <c r="C429" s="41"/>
      <c r="D429" s="41"/>
      <c r="E429" s="41"/>
      <c r="F429" s="41"/>
      <c r="G429" s="41"/>
      <c r="H429" s="41"/>
      <c r="I429" s="41"/>
      <c r="J429" s="41"/>
      <c r="K429" s="41"/>
    </row>
    <row r="430" spans="2:11" x14ac:dyDescent="0.25">
      <c r="B430" s="41"/>
      <c r="C430" s="41"/>
      <c r="D430" s="41"/>
      <c r="E430" s="41"/>
      <c r="F430" s="41"/>
      <c r="G430" s="41"/>
      <c r="H430" s="41"/>
      <c r="I430" s="41"/>
      <c r="J430" s="41"/>
      <c r="K430" s="41"/>
    </row>
    <row r="431" spans="2:11" x14ac:dyDescent="0.25">
      <c r="B431" s="41"/>
      <c r="C431" s="41"/>
      <c r="D431" s="41"/>
      <c r="E431" s="41"/>
      <c r="F431" s="41"/>
      <c r="G431" s="41"/>
      <c r="H431" s="41"/>
      <c r="I431" s="41"/>
      <c r="J431" s="41"/>
      <c r="K431" s="41"/>
    </row>
    <row r="432" spans="2:11" x14ac:dyDescent="0.25">
      <c r="B432" s="41"/>
      <c r="C432" s="41"/>
      <c r="D432" s="41"/>
      <c r="E432" s="41"/>
      <c r="F432" s="41"/>
      <c r="G432" s="41"/>
      <c r="H432" s="41"/>
      <c r="I432" s="41"/>
      <c r="J432" s="41"/>
      <c r="K432" s="41"/>
    </row>
    <row r="433" spans="2:11" x14ac:dyDescent="0.25">
      <c r="B433" s="41"/>
      <c r="C433" s="41"/>
      <c r="D433" s="41"/>
      <c r="E433" s="41"/>
      <c r="F433" s="41"/>
      <c r="G433" s="41"/>
      <c r="H433" s="41"/>
      <c r="I433" s="41"/>
      <c r="J433" s="41"/>
      <c r="K433" s="41"/>
    </row>
    <row r="434" spans="2:11" x14ac:dyDescent="0.25">
      <c r="B434" s="41"/>
      <c r="C434" s="41"/>
      <c r="D434" s="41"/>
      <c r="E434" s="41"/>
      <c r="F434" s="41"/>
      <c r="G434" s="41"/>
      <c r="H434" s="41"/>
      <c r="I434" s="41"/>
      <c r="J434" s="41"/>
      <c r="K434" s="41"/>
    </row>
    <row r="435" spans="2:11" x14ac:dyDescent="0.25">
      <c r="B435" s="41"/>
      <c r="C435" s="41"/>
      <c r="D435" s="41"/>
      <c r="E435" s="41"/>
      <c r="F435" s="41"/>
      <c r="G435" s="41"/>
      <c r="H435" s="41"/>
      <c r="I435" s="41"/>
      <c r="J435" s="41"/>
      <c r="K435" s="41"/>
    </row>
    <row r="436" spans="2:11" x14ac:dyDescent="0.25">
      <c r="B436" s="41"/>
      <c r="C436" s="41"/>
      <c r="D436" s="41"/>
      <c r="E436" s="41"/>
      <c r="F436" s="41"/>
      <c r="G436" s="41"/>
      <c r="H436" s="41"/>
      <c r="I436" s="41"/>
      <c r="J436" s="41"/>
      <c r="K436" s="41"/>
    </row>
    <row r="437" spans="2:11" x14ac:dyDescent="0.25">
      <c r="B437" s="41"/>
      <c r="C437" s="41"/>
      <c r="D437" s="41"/>
      <c r="E437" s="41"/>
      <c r="F437" s="41"/>
      <c r="G437" s="41"/>
      <c r="H437" s="41"/>
      <c r="I437" s="41"/>
      <c r="J437" s="41"/>
      <c r="K437" s="41"/>
    </row>
    <row r="438" spans="2:11" x14ac:dyDescent="0.25">
      <c r="B438" s="41"/>
      <c r="C438" s="41"/>
      <c r="D438" s="41"/>
      <c r="E438" s="41"/>
      <c r="F438" s="41"/>
      <c r="G438" s="41"/>
      <c r="H438" s="41"/>
      <c r="I438" s="41"/>
      <c r="J438" s="41"/>
      <c r="K438" s="41"/>
    </row>
    <row r="439" spans="2:11" x14ac:dyDescent="0.25">
      <c r="B439" s="41"/>
      <c r="C439" s="41"/>
      <c r="D439" s="41"/>
      <c r="E439" s="41"/>
      <c r="F439" s="41"/>
      <c r="G439" s="41"/>
      <c r="H439" s="41"/>
      <c r="I439" s="41"/>
      <c r="J439" s="41"/>
      <c r="K439" s="41"/>
    </row>
    <row r="440" spans="2:11" x14ac:dyDescent="0.25">
      <c r="B440" s="41"/>
      <c r="C440" s="41"/>
      <c r="D440" s="41"/>
      <c r="E440" s="41"/>
      <c r="F440" s="41"/>
      <c r="G440" s="41"/>
      <c r="H440" s="41"/>
      <c r="I440" s="41"/>
      <c r="J440" s="41"/>
      <c r="K440" s="41"/>
    </row>
    <row r="441" spans="2:11" x14ac:dyDescent="0.25">
      <c r="B441" s="41"/>
      <c r="C441" s="41"/>
      <c r="D441" s="41"/>
      <c r="E441" s="41"/>
      <c r="F441" s="41"/>
      <c r="G441" s="41"/>
      <c r="H441" s="41"/>
      <c r="I441" s="41"/>
      <c r="J441" s="41"/>
      <c r="K441" s="41"/>
    </row>
    <row r="442" spans="2:11" x14ac:dyDescent="0.25">
      <c r="B442" s="41"/>
      <c r="C442" s="41"/>
      <c r="D442" s="41"/>
      <c r="E442" s="41"/>
      <c r="F442" s="41"/>
      <c r="G442" s="41"/>
      <c r="H442" s="41"/>
      <c r="I442" s="41"/>
      <c r="J442" s="41"/>
      <c r="K442" s="41"/>
    </row>
    <row r="443" spans="2:11" x14ac:dyDescent="0.25">
      <c r="B443" s="41"/>
      <c r="C443" s="41"/>
      <c r="D443" s="41"/>
      <c r="E443" s="41"/>
      <c r="F443" s="41"/>
      <c r="G443" s="41"/>
      <c r="H443" s="41"/>
      <c r="I443" s="41"/>
      <c r="J443" s="41"/>
      <c r="K443" s="41"/>
    </row>
    <row r="444" spans="2:11" x14ac:dyDescent="0.25">
      <c r="B444" s="41"/>
      <c r="C444" s="41"/>
      <c r="D444" s="41"/>
      <c r="E444" s="41"/>
      <c r="F444" s="41"/>
      <c r="G444" s="41"/>
      <c r="H444" s="41"/>
      <c r="I444" s="41"/>
      <c r="J444" s="41"/>
      <c r="K444" s="41"/>
    </row>
    <row r="445" spans="2:11" x14ac:dyDescent="0.25">
      <c r="B445" s="41"/>
      <c r="C445" s="41"/>
      <c r="D445" s="41"/>
      <c r="E445" s="41"/>
      <c r="F445" s="41"/>
      <c r="G445" s="41"/>
      <c r="H445" s="41"/>
      <c r="I445" s="41"/>
      <c r="J445" s="41"/>
      <c r="K445" s="41"/>
    </row>
    <row r="446" spans="2:11" x14ac:dyDescent="0.25">
      <c r="B446" s="41"/>
      <c r="C446" s="41"/>
      <c r="D446" s="41"/>
      <c r="E446" s="41"/>
      <c r="F446" s="41"/>
      <c r="G446" s="41"/>
      <c r="H446" s="41"/>
      <c r="I446" s="41"/>
      <c r="J446" s="41"/>
      <c r="K446" s="41"/>
    </row>
    <row r="447" spans="2:11" x14ac:dyDescent="0.25">
      <c r="B447" s="41"/>
      <c r="C447" s="41"/>
      <c r="D447" s="41"/>
      <c r="E447" s="41"/>
      <c r="F447" s="41"/>
      <c r="G447" s="41"/>
      <c r="H447" s="41"/>
      <c r="I447" s="41"/>
      <c r="J447" s="41"/>
      <c r="K447" s="41"/>
    </row>
    <row r="448" spans="2:11" x14ac:dyDescent="0.25">
      <c r="B448" s="41"/>
      <c r="C448" s="41"/>
      <c r="D448" s="41"/>
      <c r="E448" s="41"/>
      <c r="F448" s="41"/>
      <c r="G448" s="41"/>
      <c r="H448" s="41"/>
      <c r="I448" s="41"/>
      <c r="J448" s="41"/>
      <c r="K448" s="41"/>
    </row>
    <row r="449" spans="2:11" x14ac:dyDescent="0.25">
      <c r="B449" s="41"/>
      <c r="C449" s="41"/>
      <c r="D449" s="41"/>
      <c r="E449" s="41"/>
      <c r="F449" s="41"/>
      <c r="G449" s="41"/>
      <c r="H449" s="41"/>
      <c r="I449" s="41"/>
      <c r="J449" s="41"/>
      <c r="K449" s="41"/>
    </row>
    <row r="450" spans="2:11" x14ac:dyDescent="0.25">
      <c r="B450" s="41"/>
      <c r="C450" s="41"/>
      <c r="D450" s="41"/>
      <c r="E450" s="41"/>
      <c r="F450" s="41"/>
      <c r="G450" s="41"/>
      <c r="H450" s="41"/>
      <c r="I450" s="41"/>
      <c r="J450" s="41"/>
      <c r="K450" s="41"/>
    </row>
    <row r="451" spans="2:11" x14ac:dyDescent="0.25">
      <c r="B451" s="41"/>
      <c r="C451" s="41"/>
      <c r="D451" s="41"/>
      <c r="E451" s="41"/>
      <c r="F451" s="41"/>
      <c r="G451" s="41"/>
      <c r="H451" s="41"/>
      <c r="I451" s="41"/>
      <c r="J451" s="41"/>
      <c r="K451" s="41"/>
    </row>
    <row r="452" spans="2:11" x14ac:dyDescent="0.25">
      <c r="B452" s="41"/>
      <c r="C452" s="41"/>
      <c r="D452" s="41"/>
      <c r="E452" s="41"/>
      <c r="F452" s="41"/>
      <c r="G452" s="41"/>
      <c r="H452" s="41"/>
      <c r="I452" s="41"/>
      <c r="J452" s="41"/>
      <c r="K452" s="41"/>
    </row>
    <row r="453" spans="2:11" x14ac:dyDescent="0.25">
      <c r="B453" s="41"/>
      <c r="C453" s="41"/>
      <c r="D453" s="41"/>
      <c r="E453" s="41"/>
      <c r="F453" s="41"/>
      <c r="G453" s="41"/>
      <c r="H453" s="41"/>
      <c r="I453" s="41"/>
      <c r="J453" s="41"/>
      <c r="K453" s="41"/>
    </row>
    <row r="454" spans="2:11" x14ac:dyDescent="0.25">
      <c r="B454" s="41"/>
      <c r="C454" s="41"/>
      <c r="D454" s="41"/>
      <c r="E454" s="41"/>
      <c r="F454" s="41"/>
      <c r="G454" s="41"/>
      <c r="H454" s="41"/>
      <c r="I454" s="41"/>
      <c r="J454" s="41"/>
      <c r="K454" s="41"/>
    </row>
    <row r="455" spans="2:11" x14ac:dyDescent="0.25">
      <c r="B455" s="41"/>
      <c r="C455" s="41"/>
      <c r="D455" s="41"/>
      <c r="E455" s="41"/>
      <c r="F455" s="41"/>
      <c r="G455" s="41"/>
      <c r="H455" s="41"/>
      <c r="I455" s="41"/>
      <c r="J455" s="41"/>
      <c r="K455" s="41"/>
    </row>
    <row r="456" spans="2:11" x14ac:dyDescent="0.25">
      <c r="B456" s="41"/>
      <c r="C456" s="41"/>
      <c r="D456" s="41"/>
      <c r="E456" s="41"/>
      <c r="F456" s="41"/>
      <c r="G456" s="41"/>
      <c r="H456" s="41"/>
      <c r="I456" s="41"/>
      <c r="J456" s="41"/>
      <c r="K456" s="41"/>
    </row>
    <row r="457" spans="2:11" x14ac:dyDescent="0.25">
      <c r="B457" s="41"/>
      <c r="C457" s="41"/>
      <c r="D457" s="41"/>
      <c r="E457" s="41"/>
      <c r="F457" s="41"/>
      <c r="G457" s="41"/>
      <c r="H457" s="41"/>
      <c r="I457" s="41"/>
      <c r="J457" s="41"/>
      <c r="K457" s="41"/>
    </row>
    <row r="458" spans="2:11" x14ac:dyDescent="0.25">
      <c r="B458" s="41"/>
      <c r="C458" s="41"/>
      <c r="D458" s="41"/>
      <c r="E458" s="41"/>
      <c r="F458" s="41"/>
      <c r="G458" s="41"/>
      <c r="H458" s="41"/>
      <c r="I458" s="41"/>
      <c r="J458" s="41"/>
      <c r="K458" s="41"/>
    </row>
    <row r="459" spans="2:11" x14ac:dyDescent="0.25">
      <c r="B459" s="41"/>
      <c r="C459" s="41"/>
      <c r="D459" s="41"/>
      <c r="E459" s="41"/>
      <c r="F459" s="41"/>
      <c r="G459" s="41"/>
      <c r="H459" s="41"/>
      <c r="I459" s="41"/>
      <c r="J459" s="41"/>
      <c r="K459" s="41"/>
    </row>
    <row r="460" spans="2:11" x14ac:dyDescent="0.25">
      <c r="B460" s="41"/>
      <c r="C460" s="41"/>
      <c r="D460" s="41"/>
      <c r="E460" s="41"/>
      <c r="F460" s="41"/>
      <c r="G460" s="41"/>
      <c r="H460" s="41"/>
      <c r="I460" s="41"/>
      <c r="J460" s="41"/>
      <c r="K460" s="41"/>
    </row>
    <row r="461" spans="2:11" x14ac:dyDescent="0.25">
      <c r="B461" s="41"/>
      <c r="C461" s="41"/>
      <c r="D461" s="41"/>
      <c r="E461" s="41"/>
      <c r="F461" s="41"/>
      <c r="G461" s="41"/>
      <c r="H461" s="41"/>
      <c r="I461" s="41"/>
      <c r="J461" s="41"/>
      <c r="K461" s="41"/>
    </row>
    <row r="462" spans="2:11" x14ac:dyDescent="0.25">
      <c r="B462" s="41"/>
      <c r="C462" s="41"/>
      <c r="D462" s="41"/>
      <c r="E462" s="41"/>
      <c r="F462" s="41"/>
      <c r="G462" s="41"/>
      <c r="H462" s="41"/>
      <c r="I462" s="41"/>
      <c r="J462" s="41"/>
      <c r="K462" s="41"/>
    </row>
    <row r="463" spans="2:11" x14ac:dyDescent="0.25">
      <c r="B463" s="41"/>
      <c r="C463" s="41"/>
      <c r="D463" s="41"/>
      <c r="E463" s="41"/>
      <c r="F463" s="41"/>
      <c r="G463" s="41"/>
      <c r="H463" s="41"/>
      <c r="I463" s="41"/>
      <c r="J463" s="41"/>
      <c r="K463" s="41"/>
    </row>
    <row r="464" spans="2:11" x14ac:dyDescent="0.25">
      <c r="B464" s="41"/>
      <c r="C464" s="41"/>
      <c r="D464" s="41"/>
      <c r="E464" s="41"/>
      <c r="F464" s="41"/>
      <c r="G464" s="41"/>
      <c r="H464" s="41"/>
      <c r="I464" s="41"/>
      <c r="J464" s="41"/>
      <c r="K464" s="41"/>
    </row>
    <row r="465" spans="2:11" x14ac:dyDescent="0.25">
      <c r="B465" s="41"/>
      <c r="C465" s="41"/>
      <c r="D465" s="41"/>
      <c r="E465" s="41"/>
      <c r="F465" s="41"/>
      <c r="G465" s="41"/>
      <c r="H465" s="41"/>
      <c r="I465" s="41"/>
      <c r="J465" s="41"/>
      <c r="K465" s="41"/>
    </row>
    <row r="466" spans="2:11" x14ac:dyDescent="0.25">
      <c r="B466" s="41"/>
      <c r="C466" s="41"/>
      <c r="D466" s="41"/>
      <c r="E466" s="41"/>
      <c r="F466" s="41"/>
      <c r="G466" s="41"/>
      <c r="H466" s="41"/>
      <c r="I466" s="41"/>
      <c r="J466" s="41"/>
      <c r="K466" s="41"/>
    </row>
    <row r="467" spans="2:11" x14ac:dyDescent="0.25">
      <c r="B467" s="41"/>
      <c r="C467" s="41"/>
      <c r="D467" s="41"/>
      <c r="E467" s="41"/>
      <c r="F467" s="41"/>
      <c r="G467" s="41"/>
      <c r="H467" s="41"/>
      <c r="I467" s="41"/>
      <c r="J467" s="41"/>
      <c r="K467" s="41"/>
    </row>
    <row r="468" spans="2:11" x14ac:dyDescent="0.25">
      <c r="B468" s="41"/>
      <c r="C468" s="41"/>
      <c r="D468" s="41"/>
      <c r="E468" s="41"/>
      <c r="F468" s="41"/>
      <c r="G468" s="41"/>
      <c r="H468" s="41"/>
      <c r="I468" s="41"/>
      <c r="J468" s="41"/>
      <c r="K468" s="41"/>
    </row>
    <row r="469" spans="2:11" x14ac:dyDescent="0.25">
      <c r="B469" s="41"/>
      <c r="C469" s="41"/>
      <c r="D469" s="41"/>
      <c r="E469" s="41"/>
      <c r="F469" s="41"/>
      <c r="G469" s="41"/>
      <c r="H469" s="41"/>
      <c r="I469" s="41"/>
      <c r="J469" s="41"/>
      <c r="K469" s="41"/>
    </row>
    <row r="470" spans="2:11" x14ac:dyDescent="0.25">
      <c r="B470" s="41"/>
      <c r="C470" s="41"/>
      <c r="D470" s="41"/>
      <c r="E470" s="41"/>
      <c r="F470" s="41"/>
      <c r="G470" s="41"/>
      <c r="H470" s="41"/>
      <c r="I470" s="41"/>
      <c r="J470" s="41"/>
      <c r="K470" s="41"/>
    </row>
    <row r="471" spans="2:11" x14ac:dyDescent="0.25">
      <c r="B471" s="41"/>
      <c r="C471" s="41"/>
      <c r="D471" s="41"/>
      <c r="E471" s="41"/>
      <c r="F471" s="41"/>
      <c r="G471" s="41"/>
      <c r="H471" s="41"/>
      <c r="I471" s="41"/>
      <c r="J471" s="41"/>
      <c r="K471" s="41"/>
    </row>
    <row r="472" spans="2:11" x14ac:dyDescent="0.25">
      <c r="B472" s="41"/>
      <c r="C472" s="41"/>
      <c r="D472" s="41"/>
      <c r="E472" s="41"/>
      <c r="F472" s="41"/>
      <c r="G472" s="41"/>
      <c r="H472" s="41"/>
      <c r="I472" s="41"/>
      <c r="J472" s="41"/>
      <c r="K472" s="41"/>
    </row>
    <row r="473" spans="2:11" x14ac:dyDescent="0.25">
      <c r="B473" s="41"/>
      <c r="C473" s="41"/>
      <c r="D473" s="41"/>
      <c r="E473" s="41"/>
      <c r="F473" s="41"/>
      <c r="G473" s="41"/>
      <c r="H473" s="41"/>
      <c r="I473" s="41"/>
      <c r="J473" s="41"/>
      <c r="K473" s="41"/>
    </row>
    <row r="474" spans="2:11" x14ac:dyDescent="0.25">
      <c r="B474" s="41"/>
      <c r="C474" s="41"/>
      <c r="D474" s="41"/>
      <c r="E474" s="41"/>
      <c r="F474" s="41"/>
      <c r="G474" s="41"/>
      <c r="H474" s="41"/>
      <c r="I474" s="41"/>
      <c r="J474" s="41"/>
      <c r="K474" s="41"/>
    </row>
    <row r="475" spans="2:11" x14ac:dyDescent="0.25">
      <c r="B475" s="41"/>
      <c r="C475" s="41"/>
      <c r="D475" s="41"/>
      <c r="E475" s="41"/>
      <c r="F475" s="41"/>
      <c r="G475" s="41"/>
      <c r="H475" s="41"/>
      <c r="I475" s="41"/>
      <c r="J475" s="41"/>
      <c r="K475" s="41"/>
    </row>
    <row r="476" spans="2:11" x14ac:dyDescent="0.25">
      <c r="B476" s="41"/>
      <c r="C476" s="41"/>
      <c r="D476" s="41"/>
      <c r="E476" s="41"/>
      <c r="F476" s="41"/>
      <c r="G476" s="41"/>
      <c r="H476" s="41"/>
      <c r="I476" s="41"/>
      <c r="J476" s="41"/>
      <c r="K476" s="41"/>
    </row>
    <row r="477" spans="2:11" x14ac:dyDescent="0.25">
      <c r="B477" s="41"/>
      <c r="C477" s="41"/>
      <c r="D477" s="41"/>
      <c r="E477" s="41"/>
      <c r="F477" s="41"/>
      <c r="G477" s="41"/>
      <c r="H477" s="41"/>
      <c r="I477" s="41"/>
      <c r="J477" s="41"/>
      <c r="K477" s="41"/>
    </row>
    <row r="478" spans="2:11" x14ac:dyDescent="0.25">
      <c r="B478" s="41"/>
      <c r="C478" s="41"/>
      <c r="D478" s="41"/>
      <c r="E478" s="41"/>
      <c r="F478" s="41"/>
      <c r="G478" s="41"/>
      <c r="H478" s="41"/>
      <c r="I478" s="41"/>
      <c r="J478" s="41"/>
      <c r="K478" s="41"/>
    </row>
    <row r="479" spans="2:11" x14ac:dyDescent="0.25">
      <c r="B479" s="41"/>
      <c r="C479" s="41"/>
      <c r="D479" s="41"/>
      <c r="E479" s="41"/>
      <c r="F479" s="41"/>
      <c r="G479" s="41"/>
      <c r="H479" s="41"/>
      <c r="I479" s="41"/>
      <c r="J479" s="41"/>
      <c r="K479" s="41"/>
    </row>
    <row r="480" spans="2:11" x14ac:dyDescent="0.25">
      <c r="B480" s="41"/>
      <c r="C480" s="41"/>
      <c r="D480" s="41"/>
      <c r="E480" s="41"/>
      <c r="F480" s="41"/>
      <c r="G480" s="41"/>
      <c r="H480" s="41"/>
      <c r="I480" s="41"/>
      <c r="J480" s="41"/>
      <c r="K480" s="41"/>
    </row>
    <row r="481" spans="2:11" x14ac:dyDescent="0.25">
      <c r="B481" s="41"/>
      <c r="C481" s="41"/>
      <c r="D481" s="41"/>
      <c r="E481" s="41"/>
      <c r="F481" s="41"/>
      <c r="G481" s="41"/>
      <c r="H481" s="41"/>
      <c r="I481" s="41"/>
      <c r="J481" s="41"/>
      <c r="K481" s="41"/>
    </row>
    <row r="482" spans="2:11" x14ac:dyDescent="0.25">
      <c r="B482" s="41"/>
      <c r="C482" s="41"/>
      <c r="D482" s="41"/>
      <c r="E482" s="41"/>
      <c r="F482" s="41"/>
      <c r="G482" s="41"/>
      <c r="H482" s="41"/>
      <c r="I482" s="41"/>
      <c r="J482" s="41"/>
      <c r="K482" s="41"/>
    </row>
    <row r="483" spans="2:11" x14ac:dyDescent="0.25">
      <c r="B483" s="41"/>
      <c r="C483" s="41"/>
      <c r="D483" s="41"/>
      <c r="E483" s="41"/>
      <c r="F483" s="41"/>
      <c r="G483" s="41"/>
      <c r="H483" s="41"/>
      <c r="I483" s="41"/>
      <c r="J483" s="41"/>
      <c r="K483" s="41"/>
    </row>
    <row r="484" spans="2:11" x14ac:dyDescent="0.25">
      <c r="B484" s="41"/>
      <c r="C484" s="41"/>
      <c r="D484" s="41"/>
      <c r="E484" s="41"/>
      <c r="F484" s="41"/>
      <c r="G484" s="41"/>
      <c r="H484" s="41"/>
      <c r="I484" s="41"/>
      <c r="J484" s="41"/>
      <c r="K484" s="41"/>
    </row>
    <row r="485" spans="2:11" x14ac:dyDescent="0.25">
      <c r="B485" s="41"/>
      <c r="C485" s="41"/>
      <c r="D485" s="41"/>
      <c r="E485" s="41"/>
      <c r="F485" s="41"/>
      <c r="G485" s="41"/>
      <c r="H485" s="41"/>
      <c r="I485" s="41"/>
      <c r="J485" s="41"/>
      <c r="K485" s="41"/>
    </row>
    <row r="486" spans="2:11" x14ac:dyDescent="0.25">
      <c r="B486" s="41"/>
      <c r="C486" s="41"/>
      <c r="D486" s="41"/>
      <c r="E486" s="41"/>
      <c r="F486" s="41"/>
      <c r="G486" s="41"/>
      <c r="H486" s="41"/>
      <c r="I486" s="41"/>
      <c r="J486" s="41"/>
      <c r="K486" s="41"/>
    </row>
    <row r="487" spans="2:11" x14ac:dyDescent="0.25">
      <c r="B487" s="41"/>
      <c r="C487" s="41"/>
      <c r="D487" s="41"/>
      <c r="E487" s="41"/>
      <c r="F487" s="41"/>
      <c r="G487" s="41"/>
      <c r="H487" s="41"/>
      <c r="I487" s="41"/>
      <c r="J487" s="41"/>
      <c r="K487" s="41"/>
    </row>
    <row r="488" spans="2:11" x14ac:dyDescent="0.25">
      <c r="B488" s="41"/>
      <c r="C488" s="41"/>
      <c r="D488" s="41"/>
      <c r="E488" s="41"/>
      <c r="F488" s="41"/>
      <c r="G488" s="41"/>
      <c r="H488" s="41"/>
      <c r="I488" s="41"/>
      <c r="J488" s="41"/>
      <c r="K488" s="41"/>
    </row>
    <row r="489" spans="2:11" x14ac:dyDescent="0.25">
      <c r="B489" s="41"/>
      <c r="C489" s="41"/>
      <c r="D489" s="41"/>
      <c r="E489" s="41"/>
      <c r="F489" s="41"/>
      <c r="G489" s="41"/>
      <c r="H489" s="41"/>
      <c r="I489" s="41"/>
      <c r="J489" s="41"/>
      <c r="K489" s="41"/>
    </row>
    <row r="490" spans="2:11" x14ac:dyDescent="0.25">
      <c r="B490" s="41"/>
      <c r="C490" s="41"/>
      <c r="D490" s="41"/>
      <c r="E490" s="41"/>
      <c r="F490" s="41"/>
      <c r="G490" s="41"/>
      <c r="H490" s="41"/>
      <c r="I490" s="41"/>
      <c r="J490" s="41"/>
      <c r="K490" s="41"/>
    </row>
    <row r="491" spans="2:11" x14ac:dyDescent="0.25">
      <c r="B491" s="41"/>
      <c r="C491" s="41"/>
      <c r="D491" s="41"/>
      <c r="E491" s="41"/>
      <c r="F491" s="41"/>
      <c r="G491" s="41"/>
      <c r="H491" s="41"/>
      <c r="I491" s="41"/>
      <c r="J491" s="41"/>
      <c r="K491" s="41"/>
    </row>
    <row r="492" spans="2:11" x14ac:dyDescent="0.25">
      <c r="B492" s="41"/>
      <c r="C492" s="41"/>
      <c r="D492" s="41"/>
      <c r="E492" s="41"/>
      <c r="F492" s="41"/>
      <c r="G492" s="41"/>
      <c r="H492" s="41"/>
      <c r="I492" s="41"/>
      <c r="J492" s="41"/>
      <c r="K492" s="41"/>
    </row>
    <row r="493" spans="2:11" x14ac:dyDescent="0.25">
      <c r="B493" s="41"/>
      <c r="C493" s="41"/>
      <c r="D493" s="41"/>
      <c r="E493" s="41"/>
      <c r="F493" s="41"/>
      <c r="G493" s="41"/>
      <c r="H493" s="41"/>
      <c r="I493" s="41"/>
      <c r="J493" s="41"/>
      <c r="K493" s="41"/>
    </row>
    <row r="494" spans="2:11" x14ac:dyDescent="0.25">
      <c r="B494" s="41"/>
      <c r="C494" s="41"/>
      <c r="D494" s="41"/>
      <c r="E494" s="41"/>
      <c r="F494" s="41"/>
      <c r="G494" s="41"/>
      <c r="H494" s="41"/>
      <c r="I494" s="41"/>
      <c r="J494" s="41"/>
      <c r="K494" s="41"/>
    </row>
    <row r="495" spans="2:11" x14ac:dyDescent="0.25">
      <c r="B495" s="41"/>
      <c r="C495" s="41"/>
      <c r="D495" s="41"/>
      <c r="E495" s="41"/>
      <c r="F495" s="41"/>
      <c r="G495" s="41"/>
      <c r="H495" s="41"/>
      <c r="I495" s="41"/>
      <c r="J495" s="41"/>
      <c r="K495" s="41"/>
    </row>
    <row r="496" spans="2:11" x14ac:dyDescent="0.25">
      <c r="B496" s="41"/>
      <c r="C496" s="41"/>
      <c r="D496" s="41"/>
      <c r="E496" s="41"/>
      <c r="F496" s="41"/>
      <c r="G496" s="41"/>
      <c r="H496" s="41"/>
      <c r="I496" s="41"/>
      <c r="J496" s="41"/>
      <c r="K496" s="41"/>
    </row>
    <row r="497" spans="2:11" x14ac:dyDescent="0.25">
      <c r="B497" s="41"/>
      <c r="C497" s="41"/>
      <c r="D497" s="41"/>
      <c r="E497" s="41"/>
      <c r="F497" s="41"/>
      <c r="G497" s="41"/>
      <c r="H497" s="41"/>
      <c r="I497" s="41"/>
      <c r="J497" s="41"/>
      <c r="K497" s="41"/>
    </row>
    <row r="498" spans="2:11" x14ac:dyDescent="0.25">
      <c r="B498" s="41"/>
      <c r="C498" s="41"/>
      <c r="D498" s="41"/>
      <c r="E498" s="41"/>
      <c r="F498" s="41"/>
      <c r="G498" s="41"/>
      <c r="H498" s="41"/>
      <c r="I498" s="41"/>
      <c r="J498" s="41"/>
      <c r="K498" s="41"/>
    </row>
    <row r="499" spans="2:11" x14ac:dyDescent="0.25">
      <c r="B499" s="41"/>
      <c r="C499" s="41"/>
      <c r="D499" s="41"/>
      <c r="E499" s="41"/>
      <c r="F499" s="41"/>
      <c r="G499" s="41"/>
      <c r="H499" s="41"/>
      <c r="I499" s="41"/>
      <c r="J499" s="41"/>
      <c r="K499" s="41"/>
    </row>
    <row r="500" spans="2:11" x14ac:dyDescent="0.25">
      <c r="B500" s="41"/>
      <c r="C500" s="41"/>
      <c r="D500" s="41"/>
      <c r="E500" s="41"/>
      <c r="F500" s="41"/>
      <c r="G500" s="41"/>
      <c r="H500" s="41"/>
      <c r="I500" s="41"/>
      <c r="J500" s="41"/>
      <c r="K500" s="41"/>
    </row>
    <row r="501" spans="2:11" x14ac:dyDescent="0.25">
      <c r="B501" s="41"/>
      <c r="C501" s="41"/>
      <c r="D501" s="41"/>
      <c r="E501" s="41"/>
      <c r="F501" s="41"/>
      <c r="G501" s="41"/>
      <c r="H501" s="41"/>
      <c r="I501" s="41"/>
      <c r="J501" s="41"/>
      <c r="K501" s="41"/>
    </row>
    <row r="502" spans="2:11" x14ac:dyDescent="0.25">
      <c r="B502" s="41"/>
      <c r="C502" s="41"/>
      <c r="D502" s="41"/>
      <c r="E502" s="41"/>
      <c r="F502" s="41"/>
      <c r="G502" s="41"/>
      <c r="H502" s="41"/>
      <c r="I502" s="41"/>
      <c r="J502" s="41"/>
      <c r="K502" s="41"/>
    </row>
    <row r="503" spans="2:11" x14ac:dyDescent="0.25">
      <c r="B503" s="41"/>
      <c r="C503" s="41"/>
      <c r="D503" s="41"/>
      <c r="E503" s="41"/>
      <c r="F503" s="41"/>
      <c r="G503" s="41"/>
      <c r="H503" s="41"/>
      <c r="I503" s="41"/>
      <c r="J503" s="41"/>
      <c r="K503" s="41"/>
    </row>
    <row r="504" spans="2:11" x14ac:dyDescent="0.25">
      <c r="B504" s="41"/>
      <c r="C504" s="41"/>
      <c r="D504" s="41"/>
      <c r="E504" s="41"/>
      <c r="F504" s="41"/>
      <c r="G504" s="41"/>
      <c r="H504" s="41"/>
      <c r="I504" s="41"/>
      <c r="J504" s="41"/>
      <c r="K504" s="41"/>
    </row>
    <row r="505" spans="2:11" x14ac:dyDescent="0.25">
      <c r="B505" s="41"/>
      <c r="C505" s="41"/>
      <c r="D505" s="41"/>
      <c r="E505" s="41"/>
      <c r="F505" s="41"/>
      <c r="G505" s="41"/>
      <c r="H505" s="41"/>
      <c r="I505" s="41"/>
      <c r="J505" s="41"/>
      <c r="K505" s="41"/>
    </row>
    <row r="506" spans="2:11" x14ac:dyDescent="0.25">
      <c r="B506" s="41"/>
      <c r="C506" s="41"/>
      <c r="D506" s="41"/>
      <c r="E506" s="41"/>
      <c r="F506" s="41"/>
      <c r="G506" s="41"/>
      <c r="H506" s="41"/>
      <c r="I506" s="41"/>
      <c r="J506" s="41"/>
      <c r="K506" s="41"/>
    </row>
    <row r="507" spans="2:11" x14ac:dyDescent="0.25">
      <c r="B507" s="41"/>
      <c r="C507" s="41"/>
      <c r="D507" s="41"/>
      <c r="E507" s="41"/>
      <c r="F507" s="41"/>
      <c r="G507" s="41"/>
      <c r="H507" s="41"/>
      <c r="I507" s="41"/>
      <c r="J507" s="41"/>
      <c r="K507" s="41"/>
    </row>
    <row r="508" spans="2:11" x14ac:dyDescent="0.25">
      <c r="B508" s="41"/>
      <c r="C508" s="41"/>
      <c r="D508" s="41"/>
      <c r="E508" s="41"/>
      <c r="F508" s="41"/>
      <c r="G508" s="41"/>
      <c r="H508" s="41"/>
      <c r="I508" s="41"/>
      <c r="J508" s="41"/>
      <c r="K508" s="41"/>
    </row>
    <row r="509" spans="2:11" x14ac:dyDescent="0.25">
      <c r="B509" s="41"/>
      <c r="C509" s="41"/>
      <c r="D509" s="41"/>
      <c r="E509" s="41"/>
      <c r="F509" s="41"/>
      <c r="G509" s="41"/>
      <c r="H509" s="41"/>
      <c r="I509" s="41"/>
      <c r="J509" s="41"/>
      <c r="K509" s="41"/>
    </row>
    <row r="510" spans="2:11" x14ac:dyDescent="0.25">
      <c r="B510" s="41"/>
      <c r="C510" s="41"/>
      <c r="D510" s="41"/>
      <c r="E510" s="41"/>
      <c r="F510" s="41"/>
      <c r="G510" s="41"/>
      <c r="H510" s="41"/>
      <c r="I510" s="41"/>
      <c r="J510" s="41"/>
      <c r="K510" s="41"/>
    </row>
    <row r="511" spans="2:11" x14ac:dyDescent="0.25">
      <c r="B511" s="41"/>
      <c r="C511" s="41"/>
      <c r="D511" s="41"/>
      <c r="E511" s="41"/>
      <c r="F511" s="41"/>
      <c r="G511" s="41"/>
      <c r="H511" s="41"/>
      <c r="I511" s="41"/>
      <c r="J511" s="41"/>
      <c r="K511" s="41"/>
    </row>
    <row r="512" spans="2:11" x14ac:dyDescent="0.25">
      <c r="B512" s="41"/>
      <c r="C512" s="41"/>
      <c r="D512" s="41"/>
      <c r="E512" s="41"/>
      <c r="F512" s="41"/>
      <c r="G512" s="41"/>
      <c r="H512" s="41"/>
      <c r="I512" s="41"/>
      <c r="J512" s="41"/>
      <c r="K512" s="41"/>
    </row>
    <row r="513" spans="2:11" x14ac:dyDescent="0.25">
      <c r="B513" s="41"/>
      <c r="C513" s="41"/>
      <c r="D513" s="41"/>
      <c r="E513" s="41"/>
      <c r="F513" s="41"/>
      <c r="G513" s="41"/>
      <c r="H513" s="41"/>
      <c r="I513" s="41"/>
      <c r="J513" s="41"/>
      <c r="K513" s="41"/>
    </row>
    <row r="514" spans="2:11" x14ac:dyDescent="0.25">
      <c r="B514" s="41"/>
      <c r="C514" s="41"/>
      <c r="D514" s="41"/>
      <c r="E514" s="41"/>
      <c r="F514" s="41"/>
      <c r="G514" s="41"/>
      <c r="H514" s="41"/>
      <c r="I514" s="41"/>
      <c r="J514" s="41"/>
      <c r="K514" s="41"/>
    </row>
    <row r="515" spans="2:11" x14ac:dyDescent="0.25">
      <c r="B515" s="41"/>
      <c r="C515" s="41"/>
      <c r="D515" s="41"/>
      <c r="E515" s="41"/>
      <c r="F515" s="41"/>
      <c r="G515" s="41"/>
      <c r="H515" s="41"/>
      <c r="I515" s="41"/>
      <c r="J515" s="41"/>
      <c r="K515" s="41"/>
    </row>
    <row r="516" spans="2:11" x14ac:dyDescent="0.25">
      <c r="B516" s="41"/>
      <c r="C516" s="41"/>
      <c r="D516" s="41"/>
      <c r="E516" s="41"/>
      <c r="F516" s="41"/>
      <c r="G516" s="41"/>
      <c r="H516" s="41"/>
      <c r="I516" s="41"/>
      <c r="J516" s="41"/>
      <c r="K516" s="41"/>
    </row>
    <row r="517" spans="2:11" x14ac:dyDescent="0.25">
      <c r="B517" s="41"/>
      <c r="C517" s="41"/>
      <c r="D517" s="41"/>
      <c r="E517" s="41"/>
      <c r="F517" s="41"/>
      <c r="G517" s="41"/>
      <c r="H517" s="41"/>
      <c r="I517" s="41"/>
      <c r="J517" s="41"/>
      <c r="K517" s="41"/>
    </row>
    <row r="518" spans="2:11" x14ac:dyDescent="0.25">
      <c r="B518" s="41"/>
      <c r="C518" s="41"/>
      <c r="D518" s="41"/>
      <c r="E518" s="41"/>
      <c r="F518" s="41"/>
      <c r="G518" s="41"/>
      <c r="H518" s="41"/>
      <c r="I518" s="41"/>
      <c r="J518" s="41"/>
      <c r="K518" s="41"/>
    </row>
    <row r="519" spans="2:11" x14ac:dyDescent="0.25">
      <c r="B519" s="41"/>
      <c r="C519" s="41"/>
      <c r="D519" s="41"/>
      <c r="E519" s="41"/>
      <c r="F519" s="41"/>
      <c r="G519" s="41"/>
      <c r="H519" s="41"/>
      <c r="I519" s="41"/>
      <c r="J519" s="41"/>
      <c r="K519" s="41"/>
    </row>
    <row r="520" spans="2:11" x14ac:dyDescent="0.25">
      <c r="B520" s="41"/>
      <c r="C520" s="41"/>
      <c r="D520" s="41"/>
      <c r="E520" s="41"/>
      <c r="F520" s="41"/>
      <c r="G520" s="41"/>
      <c r="H520" s="41"/>
      <c r="I520" s="41"/>
      <c r="J520" s="41"/>
      <c r="K520" s="41"/>
    </row>
    <row r="521" spans="2:11" x14ac:dyDescent="0.25">
      <c r="B521" s="41"/>
      <c r="C521" s="41"/>
      <c r="D521" s="41"/>
      <c r="E521" s="41"/>
      <c r="F521" s="41"/>
      <c r="G521" s="41"/>
      <c r="H521" s="41"/>
      <c r="I521" s="41"/>
      <c r="J521" s="41"/>
      <c r="K521" s="41"/>
    </row>
    <row r="522" spans="2:11" x14ac:dyDescent="0.25">
      <c r="B522" s="41"/>
      <c r="C522" s="41"/>
      <c r="D522" s="41"/>
      <c r="E522" s="41"/>
      <c r="F522" s="41"/>
      <c r="G522" s="41"/>
      <c r="H522" s="41"/>
      <c r="I522" s="41"/>
      <c r="J522" s="41"/>
      <c r="K522" s="41"/>
    </row>
    <row r="523" spans="2:11" x14ac:dyDescent="0.25">
      <c r="B523" s="41"/>
      <c r="C523" s="41"/>
      <c r="D523" s="41"/>
      <c r="E523" s="41"/>
      <c r="F523" s="41"/>
      <c r="G523" s="41"/>
      <c r="H523" s="41"/>
      <c r="I523" s="41"/>
      <c r="J523" s="41"/>
      <c r="K523" s="41"/>
    </row>
    <row r="524" spans="2:11" x14ac:dyDescent="0.25">
      <c r="B524" s="41"/>
      <c r="C524" s="41"/>
      <c r="D524" s="41"/>
      <c r="E524" s="41"/>
      <c r="F524" s="41"/>
      <c r="G524" s="41"/>
      <c r="H524" s="41"/>
      <c r="I524" s="41"/>
      <c r="J524" s="41"/>
      <c r="K524" s="41"/>
    </row>
    <row r="525" spans="2:11" x14ac:dyDescent="0.25">
      <c r="B525" s="41"/>
      <c r="C525" s="41"/>
      <c r="D525" s="41"/>
      <c r="E525" s="41"/>
      <c r="F525" s="41"/>
      <c r="G525" s="41"/>
      <c r="H525" s="41"/>
      <c r="I525" s="41"/>
      <c r="J525" s="41"/>
      <c r="K525" s="41"/>
    </row>
    <row r="526" spans="2:11" x14ac:dyDescent="0.25">
      <c r="B526" s="41"/>
      <c r="C526" s="41"/>
      <c r="D526" s="41"/>
      <c r="E526" s="41"/>
      <c r="F526" s="41"/>
      <c r="G526" s="41"/>
      <c r="H526" s="41"/>
      <c r="I526" s="41"/>
      <c r="J526" s="41"/>
      <c r="K526" s="41"/>
    </row>
    <row r="527" spans="2:11" x14ac:dyDescent="0.25">
      <c r="B527" s="41"/>
      <c r="C527" s="41"/>
      <c r="D527" s="41"/>
      <c r="E527" s="41"/>
      <c r="F527" s="41"/>
      <c r="G527" s="41"/>
      <c r="H527" s="41"/>
      <c r="I527" s="41"/>
      <c r="J527" s="41"/>
      <c r="K527" s="41"/>
    </row>
    <row r="528" spans="2:11" x14ac:dyDescent="0.25">
      <c r="B528" s="41"/>
      <c r="C528" s="41"/>
      <c r="D528" s="41"/>
      <c r="E528" s="41"/>
      <c r="F528" s="41"/>
      <c r="G528" s="41"/>
      <c r="H528" s="41"/>
      <c r="I528" s="41"/>
      <c r="J528" s="41"/>
      <c r="K528" s="41"/>
    </row>
    <row r="529" spans="2:11" x14ac:dyDescent="0.25">
      <c r="B529" s="41"/>
      <c r="C529" s="41"/>
      <c r="D529" s="41"/>
      <c r="E529" s="41"/>
      <c r="F529" s="41"/>
      <c r="G529" s="41"/>
      <c r="H529" s="41"/>
      <c r="I529" s="41"/>
      <c r="J529" s="41"/>
      <c r="K529" s="41"/>
    </row>
    <row r="530" spans="2:11" x14ac:dyDescent="0.25">
      <c r="B530" s="41"/>
      <c r="C530" s="41"/>
      <c r="D530" s="41"/>
      <c r="E530" s="41"/>
      <c r="F530" s="41"/>
      <c r="G530" s="41"/>
      <c r="H530" s="41"/>
      <c r="I530" s="41"/>
      <c r="J530" s="41"/>
      <c r="K530" s="41"/>
    </row>
    <row r="531" spans="2:11" x14ac:dyDescent="0.25">
      <c r="B531" s="41"/>
      <c r="C531" s="41"/>
      <c r="D531" s="41"/>
      <c r="E531" s="41"/>
      <c r="F531" s="41"/>
      <c r="G531" s="41"/>
      <c r="H531" s="41"/>
      <c r="I531" s="41"/>
      <c r="J531" s="41"/>
      <c r="K531" s="41"/>
    </row>
    <row r="532" spans="2:11" x14ac:dyDescent="0.25">
      <c r="B532" s="41"/>
      <c r="C532" s="41"/>
      <c r="D532" s="41"/>
      <c r="E532" s="41"/>
      <c r="F532" s="41"/>
      <c r="G532" s="41"/>
      <c r="H532" s="41"/>
      <c r="I532" s="41"/>
      <c r="J532" s="41"/>
      <c r="K532" s="41"/>
    </row>
    <row r="533" spans="2:11" x14ac:dyDescent="0.25">
      <c r="B533" s="41"/>
      <c r="C533" s="41"/>
      <c r="D533" s="41"/>
      <c r="E533" s="41"/>
      <c r="F533" s="41"/>
      <c r="G533" s="41"/>
      <c r="H533" s="41"/>
      <c r="I533" s="41"/>
      <c r="J533" s="41"/>
      <c r="K533" s="41"/>
    </row>
    <row r="534" spans="2:11" x14ac:dyDescent="0.25">
      <c r="B534" s="41"/>
      <c r="C534" s="41"/>
      <c r="D534" s="41"/>
      <c r="E534" s="41"/>
      <c r="F534" s="41"/>
      <c r="G534" s="41"/>
      <c r="H534" s="41"/>
      <c r="I534" s="41"/>
      <c r="J534" s="41"/>
      <c r="K534" s="41"/>
    </row>
    <row r="535" spans="2:11" x14ac:dyDescent="0.25">
      <c r="B535" s="41"/>
      <c r="C535" s="41"/>
      <c r="D535" s="41"/>
      <c r="E535" s="41"/>
      <c r="F535" s="41"/>
      <c r="G535" s="41"/>
      <c r="H535" s="41"/>
      <c r="I535" s="41"/>
      <c r="J535" s="41"/>
      <c r="K535" s="41"/>
    </row>
    <row r="536" spans="2:11" x14ac:dyDescent="0.25">
      <c r="B536" s="41"/>
      <c r="C536" s="41"/>
      <c r="D536" s="41"/>
      <c r="E536" s="41"/>
      <c r="F536" s="41"/>
      <c r="G536" s="41"/>
      <c r="H536" s="41"/>
      <c r="I536" s="41"/>
      <c r="J536" s="41"/>
      <c r="K536" s="41"/>
    </row>
    <row r="537" spans="2:11" x14ac:dyDescent="0.25">
      <c r="B537" s="41"/>
      <c r="C537" s="41"/>
      <c r="D537" s="41"/>
      <c r="E537" s="41"/>
      <c r="F537" s="41"/>
      <c r="G537" s="41"/>
      <c r="H537" s="41"/>
      <c r="I537" s="41"/>
      <c r="J537" s="41"/>
      <c r="K537" s="41"/>
    </row>
    <row r="538" spans="2:11" x14ac:dyDescent="0.25">
      <c r="B538" s="41"/>
      <c r="C538" s="41"/>
      <c r="D538" s="41"/>
      <c r="E538" s="41"/>
      <c r="F538" s="41"/>
      <c r="G538" s="41"/>
      <c r="H538" s="41"/>
      <c r="I538" s="41"/>
      <c r="J538" s="41"/>
      <c r="K538" s="41"/>
    </row>
    <row r="539" spans="2:11" x14ac:dyDescent="0.25">
      <c r="B539" s="41"/>
      <c r="C539" s="41"/>
      <c r="D539" s="41"/>
      <c r="E539" s="41"/>
      <c r="F539" s="41"/>
      <c r="G539" s="41"/>
      <c r="H539" s="41"/>
      <c r="I539" s="41"/>
      <c r="J539" s="41"/>
      <c r="K539" s="41"/>
    </row>
    <row r="540" spans="2:11" x14ac:dyDescent="0.25">
      <c r="B540" s="41"/>
      <c r="C540" s="41"/>
      <c r="D540" s="41"/>
      <c r="E540" s="41"/>
      <c r="F540" s="41"/>
      <c r="G540" s="41"/>
      <c r="H540" s="41"/>
      <c r="I540" s="41"/>
      <c r="J540" s="41"/>
      <c r="K540" s="41"/>
    </row>
    <row r="541" spans="2:11" x14ac:dyDescent="0.25">
      <c r="B541" s="41"/>
      <c r="C541" s="41"/>
      <c r="D541" s="41"/>
      <c r="E541" s="41"/>
      <c r="F541" s="41"/>
      <c r="G541" s="41"/>
      <c r="H541" s="41"/>
      <c r="I541" s="41"/>
      <c r="J541" s="41"/>
      <c r="K541" s="41"/>
    </row>
    <row r="542" spans="2:11" x14ac:dyDescent="0.25">
      <c r="B542" s="41"/>
      <c r="C542" s="41"/>
      <c r="D542" s="41"/>
      <c r="E542" s="41"/>
      <c r="F542" s="41"/>
      <c r="G542" s="41"/>
      <c r="H542" s="41"/>
      <c r="I542" s="41"/>
      <c r="J542" s="41"/>
      <c r="K542" s="41"/>
    </row>
    <row r="543" spans="2:11" x14ac:dyDescent="0.25">
      <c r="B543" s="41"/>
      <c r="C543" s="41"/>
      <c r="D543" s="41"/>
      <c r="E543" s="41"/>
      <c r="F543" s="41"/>
      <c r="G543" s="41"/>
      <c r="H543" s="41"/>
      <c r="I543" s="41"/>
      <c r="J543" s="41"/>
      <c r="K543" s="41"/>
    </row>
    <row r="544" spans="2:11" x14ac:dyDescent="0.25">
      <c r="B544" s="41"/>
      <c r="C544" s="41"/>
      <c r="D544" s="41"/>
      <c r="E544" s="41"/>
      <c r="F544" s="41"/>
      <c r="G544" s="41"/>
      <c r="H544" s="41"/>
      <c r="I544" s="41"/>
      <c r="J544" s="41"/>
      <c r="K544" s="41"/>
    </row>
    <row r="545" spans="2:11" x14ac:dyDescent="0.25">
      <c r="B545" s="41"/>
      <c r="C545" s="41"/>
      <c r="D545" s="41"/>
      <c r="E545" s="41"/>
      <c r="F545" s="41"/>
      <c r="G545" s="41"/>
      <c r="H545" s="41"/>
      <c r="I545" s="41"/>
      <c r="J545" s="41"/>
      <c r="K545" s="41"/>
    </row>
    <row r="546" spans="2:11" x14ac:dyDescent="0.25">
      <c r="B546" s="41"/>
      <c r="C546" s="41"/>
      <c r="D546" s="41"/>
      <c r="E546" s="41"/>
      <c r="F546" s="41"/>
      <c r="G546" s="41"/>
      <c r="H546" s="41"/>
      <c r="I546" s="41"/>
      <c r="J546" s="41"/>
      <c r="K546" s="41"/>
    </row>
    <row r="547" spans="2:11" x14ac:dyDescent="0.25">
      <c r="B547" s="41"/>
      <c r="C547" s="41"/>
      <c r="D547" s="41"/>
      <c r="E547" s="41"/>
      <c r="F547" s="41"/>
      <c r="G547" s="41"/>
      <c r="H547" s="41"/>
      <c r="I547" s="41"/>
      <c r="J547" s="41"/>
      <c r="K547" s="41"/>
    </row>
    <row r="548" spans="2:11" x14ac:dyDescent="0.25">
      <c r="B548" s="41"/>
      <c r="C548" s="41"/>
      <c r="D548" s="41"/>
      <c r="E548" s="41"/>
      <c r="F548" s="41"/>
      <c r="G548" s="41"/>
      <c r="H548" s="41"/>
      <c r="I548" s="41"/>
      <c r="J548" s="41"/>
      <c r="K548" s="41"/>
    </row>
    <row r="549" spans="2:11" x14ac:dyDescent="0.25">
      <c r="B549" s="41"/>
      <c r="C549" s="41"/>
      <c r="D549" s="41"/>
      <c r="E549" s="41"/>
      <c r="F549" s="41"/>
      <c r="G549" s="41"/>
      <c r="H549" s="41"/>
      <c r="I549" s="41"/>
      <c r="J549" s="41"/>
      <c r="K549" s="41"/>
    </row>
    <row r="550" spans="2:11" x14ac:dyDescent="0.25">
      <c r="B550" s="41"/>
      <c r="C550" s="41"/>
      <c r="D550" s="41"/>
      <c r="E550" s="41"/>
      <c r="F550" s="41"/>
      <c r="G550" s="41"/>
      <c r="H550" s="41"/>
      <c r="I550" s="41"/>
      <c r="J550" s="41"/>
      <c r="K550" s="41"/>
    </row>
    <row r="551" spans="2:11" x14ac:dyDescent="0.25">
      <c r="B551" s="41"/>
      <c r="C551" s="41"/>
      <c r="D551" s="41"/>
      <c r="E551" s="41"/>
      <c r="F551" s="41"/>
      <c r="G551" s="41"/>
      <c r="H551" s="41"/>
      <c r="I551" s="41"/>
      <c r="J551" s="41"/>
      <c r="K551" s="41"/>
    </row>
    <row r="552" spans="2:11" x14ac:dyDescent="0.25">
      <c r="B552" s="41"/>
      <c r="C552" s="41"/>
      <c r="D552" s="41"/>
      <c r="E552" s="41"/>
      <c r="F552" s="41"/>
      <c r="G552" s="41"/>
      <c r="H552" s="41"/>
      <c r="I552" s="41"/>
      <c r="J552" s="41"/>
      <c r="K552" s="41"/>
    </row>
    <row r="553" spans="2:11" x14ac:dyDescent="0.25">
      <c r="B553" s="41"/>
      <c r="C553" s="41"/>
      <c r="D553" s="41"/>
      <c r="E553" s="41"/>
      <c r="F553" s="41"/>
      <c r="G553" s="41"/>
      <c r="H553" s="41"/>
      <c r="I553" s="41"/>
      <c r="J553" s="41"/>
      <c r="K553" s="41"/>
    </row>
    <row r="554" spans="2:11" x14ac:dyDescent="0.25">
      <c r="B554" s="41"/>
      <c r="C554" s="41"/>
      <c r="D554" s="41"/>
      <c r="E554" s="41"/>
      <c r="F554" s="41"/>
      <c r="G554" s="41"/>
      <c r="H554" s="41"/>
      <c r="I554" s="41"/>
      <c r="J554" s="41"/>
      <c r="K554" s="41"/>
    </row>
    <row r="555" spans="2:11" x14ac:dyDescent="0.25">
      <c r="B555" s="41"/>
      <c r="C555" s="41"/>
      <c r="D555" s="41"/>
      <c r="E555" s="41"/>
      <c r="F555" s="41"/>
      <c r="G555" s="41"/>
      <c r="H555" s="41"/>
      <c r="I555" s="41"/>
      <c r="J555" s="41"/>
      <c r="K555" s="41"/>
    </row>
    <row r="556" spans="2:11" x14ac:dyDescent="0.25">
      <c r="B556" s="41"/>
      <c r="C556" s="41"/>
      <c r="D556" s="41"/>
      <c r="E556" s="41"/>
      <c r="F556" s="41"/>
      <c r="G556" s="41"/>
      <c r="H556" s="41"/>
      <c r="I556" s="41"/>
      <c r="J556" s="41"/>
      <c r="K556" s="41"/>
    </row>
    <row r="557" spans="2:11" x14ac:dyDescent="0.25">
      <c r="B557" s="41"/>
      <c r="C557" s="41"/>
      <c r="D557" s="41"/>
      <c r="E557" s="41"/>
      <c r="F557" s="41"/>
      <c r="G557" s="41"/>
      <c r="H557" s="41"/>
      <c r="I557" s="41"/>
      <c r="J557" s="41"/>
      <c r="K557" s="41"/>
    </row>
    <row r="558" spans="2:11" x14ac:dyDescent="0.25">
      <c r="B558" s="41"/>
      <c r="C558" s="41"/>
      <c r="D558" s="41"/>
      <c r="E558" s="41"/>
      <c r="F558" s="41"/>
      <c r="G558" s="41"/>
      <c r="H558" s="41"/>
      <c r="I558" s="41"/>
      <c r="J558" s="41"/>
      <c r="K558" s="41"/>
    </row>
    <row r="559" spans="2:11" x14ac:dyDescent="0.25">
      <c r="B559" s="41"/>
      <c r="C559" s="41"/>
      <c r="D559" s="41"/>
      <c r="E559" s="41"/>
      <c r="F559" s="41"/>
      <c r="G559" s="41"/>
      <c r="H559" s="41"/>
      <c r="I559" s="41"/>
      <c r="J559" s="41"/>
      <c r="K559" s="41"/>
    </row>
    <row r="560" spans="2:11" x14ac:dyDescent="0.25">
      <c r="B560" s="41"/>
      <c r="C560" s="41"/>
      <c r="D560" s="41"/>
      <c r="E560" s="41"/>
      <c r="F560" s="41"/>
      <c r="G560" s="41"/>
      <c r="H560" s="41"/>
      <c r="I560" s="41"/>
      <c r="J560" s="41"/>
      <c r="K560" s="41"/>
    </row>
    <row r="561" spans="2:11" x14ac:dyDescent="0.25">
      <c r="B561" s="41"/>
      <c r="C561" s="41"/>
      <c r="D561" s="41"/>
      <c r="E561" s="41"/>
      <c r="F561" s="41"/>
      <c r="G561" s="41"/>
      <c r="H561" s="41"/>
      <c r="I561" s="41"/>
      <c r="J561" s="41"/>
      <c r="K561" s="41"/>
    </row>
    <row r="562" spans="2:11" x14ac:dyDescent="0.25">
      <c r="B562" s="41"/>
      <c r="C562" s="41"/>
      <c r="D562" s="41"/>
      <c r="E562" s="41"/>
      <c r="F562" s="41"/>
      <c r="G562" s="41"/>
      <c r="H562" s="41"/>
      <c r="I562" s="41"/>
      <c r="J562" s="41"/>
      <c r="K562" s="41"/>
    </row>
    <row r="563" spans="2:11" x14ac:dyDescent="0.25">
      <c r="B563" s="41"/>
      <c r="C563" s="41"/>
      <c r="D563" s="41"/>
      <c r="E563" s="41"/>
      <c r="F563" s="41"/>
      <c r="G563" s="41"/>
      <c r="H563" s="41"/>
      <c r="I563" s="41"/>
      <c r="J563" s="41"/>
      <c r="K563" s="41"/>
    </row>
    <row r="564" spans="2:11" x14ac:dyDescent="0.25">
      <c r="B564" s="41"/>
      <c r="C564" s="41"/>
      <c r="D564" s="41"/>
      <c r="E564" s="41"/>
      <c r="F564" s="41"/>
      <c r="G564" s="41"/>
      <c r="H564" s="41"/>
      <c r="I564" s="41"/>
      <c r="J564" s="41"/>
      <c r="K564" s="41"/>
    </row>
    <row r="565" spans="2:11" x14ac:dyDescent="0.25">
      <c r="B565" s="41"/>
      <c r="C565" s="41"/>
      <c r="D565" s="41"/>
      <c r="E565" s="41"/>
      <c r="F565" s="41"/>
      <c r="G565" s="41"/>
      <c r="H565" s="41"/>
      <c r="I565" s="41"/>
      <c r="J565" s="41"/>
      <c r="K565" s="41"/>
    </row>
    <row r="566" spans="2:11" x14ac:dyDescent="0.25">
      <c r="B566" s="41"/>
      <c r="C566" s="41"/>
      <c r="D566" s="41"/>
      <c r="E566" s="41"/>
      <c r="F566" s="41"/>
      <c r="G566" s="41"/>
      <c r="H566" s="41"/>
      <c r="I566" s="41"/>
      <c r="J566" s="41"/>
      <c r="K566" s="41"/>
    </row>
    <row r="567" spans="2:11" x14ac:dyDescent="0.25">
      <c r="B567" s="41"/>
      <c r="C567" s="41"/>
      <c r="D567" s="41"/>
      <c r="E567" s="41"/>
      <c r="F567" s="41"/>
      <c r="G567" s="41"/>
      <c r="H567" s="41"/>
      <c r="I567" s="41"/>
      <c r="J567" s="41"/>
      <c r="K567" s="41"/>
    </row>
    <row r="568" spans="2:11" x14ac:dyDescent="0.25">
      <c r="B568" s="41"/>
      <c r="C568" s="41"/>
      <c r="D568" s="41"/>
      <c r="E568" s="41"/>
      <c r="F568" s="41"/>
      <c r="G568" s="41"/>
      <c r="H568" s="41"/>
      <c r="I568" s="41"/>
      <c r="J568" s="41"/>
      <c r="K568" s="41"/>
    </row>
    <row r="569" spans="2:11" x14ac:dyDescent="0.25">
      <c r="B569" s="41"/>
      <c r="C569" s="41"/>
      <c r="D569" s="41"/>
      <c r="E569" s="41"/>
      <c r="F569" s="41"/>
      <c r="G569" s="41"/>
      <c r="H569" s="41"/>
      <c r="I569" s="41"/>
      <c r="J569" s="41"/>
      <c r="K569" s="41"/>
    </row>
    <row r="570" spans="2:11" x14ac:dyDescent="0.25">
      <c r="B570" s="41"/>
      <c r="C570" s="41"/>
      <c r="D570" s="41"/>
      <c r="E570" s="41"/>
      <c r="F570" s="41"/>
      <c r="G570" s="41"/>
      <c r="H570" s="41"/>
      <c r="I570" s="41"/>
      <c r="J570" s="41"/>
      <c r="K570" s="41"/>
    </row>
    <row r="571" spans="2:11" x14ac:dyDescent="0.25">
      <c r="B571" s="41"/>
      <c r="C571" s="41"/>
      <c r="D571" s="41"/>
      <c r="E571" s="41"/>
      <c r="F571" s="41"/>
      <c r="G571" s="41"/>
      <c r="H571" s="41"/>
      <c r="I571" s="41"/>
      <c r="J571" s="41"/>
      <c r="K571" s="41"/>
    </row>
    <row r="572" spans="2:11" x14ac:dyDescent="0.25">
      <c r="B572" s="41"/>
      <c r="C572" s="41"/>
      <c r="D572" s="41"/>
      <c r="E572" s="41"/>
      <c r="F572" s="41"/>
      <c r="G572" s="41"/>
      <c r="H572" s="41"/>
      <c r="I572" s="41"/>
      <c r="J572" s="41"/>
      <c r="K572" s="41"/>
    </row>
    <row r="573" spans="2:11" x14ac:dyDescent="0.25">
      <c r="B573" s="41"/>
      <c r="C573" s="41"/>
      <c r="D573" s="41"/>
      <c r="E573" s="41"/>
      <c r="F573" s="41"/>
      <c r="G573" s="41"/>
      <c r="H573" s="41"/>
      <c r="I573" s="41"/>
      <c r="J573" s="41"/>
      <c r="K573" s="41"/>
    </row>
    <row r="574" spans="2:11" x14ac:dyDescent="0.25">
      <c r="B574" s="41"/>
      <c r="C574" s="41"/>
      <c r="D574" s="41"/>
      <c r="E574" s="41"/>
      <c r="F574" s="41"/>
      <c r="G574" s="41"/>
      <c r="H574" s="41"/>
      <c r="I574" s="41"/>
      <c r="J574" s="41"/>
      <c r="K574" s="41"/>
    </row>
    <row r="575" spans="2:11" x14ac:dyDescent="0.25">
      <c r="B575" s="41"/>
      <c r="C575" s="41"/>
      <c r="D575" s="41"/>
      <c r="E575" s="41"/>
      <c r="F575" s="41"/>
      <c r="G575" s="41"/>
      <c r="H575" s="41"/>
      <c r="I575" s="41"/>
      <c r="J575" s="41"/>
      <c r="K575" s="41"/>
    </row>
    <row r="576" spans="2:11" x14ac:dyDescent="0.25">
      <c r="B576" s="41"/>
      <c r="C576" s="41"/>
      <c r="D576" s="41"/>
      <c r="E576" s="41"/>
      <c r="F576" s="41"/>
      <c r="G576" s="41"/>
      <c r="H576" s="41"/>
      <c r="I576" s="41"/>
      <c r="J576" s="41"/>
      <c r="K576" s="41"/>
    </row>
    <row r="577" spans="2:11" x14ac:dyDescent="0.25">
      <c r="B577" s="41"/>
      <c r="C577" s="41"/>
      <c r="D577" s="41"/>
      <c r="E577" s="41"/>
      <c r="F577" s="41"/>
      <c r="G577" s="41"/>
      <c r="H577" s="41"/>
      <c r="I577" s="41"/>
      <c r="J577" s="41"/>
      <c r="K577" s="41"/>
    </row>
    <row r="578" spans="2:11" x14ac:dyDescent="0.25">
      <c r="B578" s="41"/>
      <c r="C578" s="41"/>
      <c r="D578" s="41"/>
      <c r="E578" s="41"/>
      <c r="F578" s="41"/>
      <c r="G578" s="41"/>
      <c r="H578" s="41"/>
      <c r="I578" s="41"/>
      <c r="J578" s="41"/>
      <c r="K578" s="41"/>
    </row>
    <row r="579" spans="2:11" x14ac:dyDescent="0.25">
      <c r="B579" s="41"/>
      <c r="C579" s="41"/>
      <c r="D579" s="41"/>
      <c r="E579" s="41"/>
      <c r="F579" s="41"/>
      <c r="G579" s="41"/>
      <c r="H579" s="41"/>
      <c r="I579" s="41"/>
      <c r="J579" s="41"/>
      <c r="K579" s="41"/>
    </row>
    <row r="580" spans="2:11" x14ac:dyDescent="0.25">
      <c r="B580" s="41"/>
      <c r="C580" s="41"/>
      <c r="D580" s="41"/>
      <c r="E580" s="41"/>
      <c r="F580" s="41"/>
      <c r="G580" s="41"/>
      <c r="H580" s="41"/>
      <c r="I580" s="41"/>
      <c r="J580" s="41"/>
      <c r="K580" s="41"/>
    </row>
    <row r="581" spans="2:11" x14ac:dyDescent="0.25">
      <c r="B581" s="41"/>
      <c r="C581" s="41"/>
      <c r="D581" s="41"/>
      <c r="E581" s="41"/>
      <c r="F581" s="41"/>
      <c r="G581" s="41"/>
      <c r="H581" s="41"/>
      <c r="I581" s="41"/>
      <c r="J581" s="41"/>
      <c r="K581" s="41"/>
    </row>
    <row r="582" spans="2:11" x14ac:dyDescent="0.25">
      <c r="B582" s="41"/>
      <c r="C582" s="41"/>
      <c r="D582" s="41"/>
      <c r="E582" s="41"/>
      <c r="F582" s="41"/>
      <c r="G582" s="41"/>
      <c r="H582" s="41"/>
      <c r="I582" s="41"/>
      <c r="J582" s="41"/>
      <c r="K582" s="41"/>
    </row>
    <row r="583" spans="2:11" x14ac:dyDescent="0.25">
      <c r="B583" s="41"/>
      <c r="C583" s="41"/>
      <c r="D583" s="41"/>
      <c r="E583" s="41"/>
      <c r="F583" s="41"/>
      <c r="G583" s="41"/>
      <c r="H583" s="41"/>
      <c r="I583" s="41"/>
      <c r="J583" s="41"/>
      <c r="K583" s="41"/>
    </row>
    <row r="584" spans="2:11" x14ac:dyDescent="0.25">
      <c r="B584" s="41"/>
      <c r="C584" s="41"/>
      <c r="D584" s="41"/>
      <c r="E584" s="41"/>
      <c r="F584" s="41"/>
      <c r="G584" s="41"/>
      <c r="H584" s="41"/>
      <c r="I584" s="41"/>
      <c r="J584" s="41"/>
      <c r="K584" s="41"/>
    </row>
    <row r="585" spans="2:11" x14ac:dyDescent="0.25">
      <c r="B585" s="41"/>
      <c r="C585" s="41"/>
      <c r="D585" s="41"/>
      <c r="E585" s="41"/>
      <c r="F585" s="41"/>
      <c r="G585" s="41"/>
      <c r="H585" s="41"/>
      <c r="I585" s="41"/>
      <c r="J585" s="41"/>
      <c r="K585" s="41"/>
    </row>
    <row r="586" spans="2:11" x14ac:dyDescent="0.25">
      <c r="B586" s="41"/>
      <c r="C586" s="41"/>
      <c r="D586" s="41"/>
      <c r="E586" s="41"/>
      <c r="F586" s="41"/>
      <c r="G586" s="41"/>
      <c r="H586" s="41"/>
      <c r="I586" s="41"/>
      <c r="J586" s="41"/>
      <c r="K586" s="41"/>
    </row>
    <row r="587" spans="2:11" x14ac:dyDescent="0.25">
      <c r="B587" s="41"/>
      <c r="C587" s="41"/>
      <c r="D587" s="41"/>
      <c r="E587" s="41"/>
      <c r="F587" s="41"/>
      <c r="G587" s="41"/>
      <c r="H587" s="41"/>
      <c r="I587" s="41"/>
      <c r="J587" s="41"/>
      <c r="K587" s="41"/>
    </row>
    <row r="588" spans="2:11" x14ac:dyDescent="0.25">
      <c r="B588" s="41"/>
      <c r="C588" s="41"/>
      <c r="D588" s="41"/>
      <c r="E588" s="41"/>
      <c r="F588" s="41"/>
      <c r="G588" s="41"/>
      <c r="H588" s="41"/>
      <c r="I588" s="41"/>
      <c r="J588" s="41"/>
      <c r="K588" s="41"/>
    </row>
    <row r="589" spans="2:11" x14ac:dyDescent="0.25">
      <c r="B589" s="41"/>
      <c r="C589" s="41"/>
      <c r="D589" s="41"/>
      <c r="E589" s="41"/>
      <c r="F589" s="41"/>
      <c r="G589" s="41"/>
      <c r="H589" s="41"/>
      <c r="I589" s="41"/>
      <c r="J589" s="41"/>
      <c r="K589" s="41"/>
    </row>
    <row r="590" spans="2:11" x14ac:dyDescent="0.25">
      <c r="B590" s="41"/>
      <c r="C590" s="41"/>
      <c r="D590" s="41"/>
      <c r="E590" s="41"/>
      <c r="F590" s="41"/>
      <c r="G590" s="41"/>
      <c r="H590" s="41"/>
      <c r="I590" s="41"/>
      <c r="J590" s="41"/>
      <c r="K590" s="41"/>
    </row>
    <row r="591" spans="2:11" x14ac:dyDescent="0.25">
      <c r="B591" s="41"/>
      <c r="C591" s="41"/>
      <c r="D591" s="41"/>
      <c r="E591" s="41"/>
      <c r="F591" s="41"/>
      <c r="G591" s="41"/>
      <c r="H591" s="41"/>
      <c r="I591" s="41"/>
      <c r="J591" s="41"/>
      <c r="K591" s="41"/>
    </row>
    <row r="592" spans="2:11" x14ac:dyDescent="0.25">
      <c r="B592" s="41"/>
      <c r="C592" s="41"/>
      <c r="D592" s="41"/>
      <c r="E592" s="41"/>
      <c r="F592" s="41"/>
      <c r="G592" s="41"/>
      <c r="H592" s="41"/>
      <c r="I592" s="41"/>
      <c r="J592" s="41"/>
      <c r="K592" s="41"/>
    </row>
    <row r="593" spans="2:11" x14ac:dyDescent="0.25">
      <c r="B593" s="41"/>
      <c r="C593" s="41"/>
      <c r="D593" s="41"/>
      <c r="E593" s="41"/>
      <c r="F593" s="41"/>
      <c r="G593" s="41"/>
      <c r="H593" s="41"/>
      <c r="I593" s="41"/>
      <c r="J593" s="41"/>
      <c r="K593" s="41"/>
    </row>
    <row r="594" spans="2:11" x14ac:dyDescent="0.25">
      <c r="B594" s="41"/>
      <c r="C594" s="41"/>
      <c r="D594" s="41"/>
      <c r="E594" s="41"/>
      <c r="F594" s="41"/>
      <c r="G594" s="41"/>
      <c r="H594" s="41"/>
      <c r="I594" s="41"/>
      <c r="J594" s="41"/>
      <c r="K594" s="41"/>
    </row>
    <row r="595" spans="2:11" x14ac:dyDescent="0.25">
      <c r="B595" s="41"/>
      <c r="C595" s="41"/>
      <c r="D595" s="41"/>
      <c r="E595" s="41"/>
      <c r="F595" s="41"/>
      <c r="G595" s="41"/>
      <c r="H595" s="41"/>
      <c r="I595" s="41"/>
      <c r="J595" s="41"/>
      <c r="K595" s="41"/>
    </row>
    <row r="596" spans="2:11" x14ac:dyDescent="0.25">
      <c r="B596" s="41"/>
      <c r="C596" s="41"/>
      <c r="D596" s="41"/>
      <c r="E596" s="41"/>
      <c r="F596" s="41"/>
      <c r="G596" s="41"/>
      <c r="H596" s="41"/>
      <c r="I596" s="41"/>
      <c r="J596" s="41"/>
      <c r="K596" s="41"/>
    </row>
    <row r="597" spans="2:11" x14ac:dyDescent="0.25">
      <c r="B597" s="41"/>
      <c r="C597" s="41"/>
      <c r="D597" s="41"/>
      <c r="E597" s="41"/>
      <c r="F597" s="41"/>
      <c r="G597" s="41"/>
      <c r="H597" s="41"/>
      <c r="I597" s="41"/>
      <c r="J597" s="41"/>
      <c r="K597" s="41"/>
    </row>
    <row r="598" spans="2:11" x14ac:dyDescent="0.25">
      <c r="B598" s="41"/>
      <c r="C598" s="41"/>
      <c r="D598" s="41"/>
      <c r="E598" s="41"/>
      <c r="F598" s="41"/>
      <c r="G598" s="41"/>
      <c r="H598" s="41"/>
      <c r="I598" s="41"/>
      <c r="J598" s="41"/>
      <c r="K598" s="41"/>
    </row>
    <row r="599" spans="2:11" x14ac:dyDescent="0.25">
      <c r="B599" s="41"/>
      <c r="C599" s="41"/>
      <c r="D599" s="41"/>
      <c r="E599" s="41"/>
      <c r="F599" s="41"/>
      <c r="G599" s="41"/>
      <c r="H599" s="41"/>
      <c r="I599" s="41"/>
      <c r="J599" s="41"/>
      <c r="K599" s="41"/>
    </row>
    <row r="600" spans="2:11" x14ac:dyDescent="0.25">
      <c r="B600" s="41"/>
      <c r="C600" s="41"/>
      <c r="D600" s="41"/>
      <c r="E600" s="41"/>
      <c r="F600" s="41"/>
      <c r="G600" s="41"/>
      <c r="H600" s="41"/>
      <c r="I600" s="41"/>
      <c r="J600" s="41"/>
      <c r="K600" s="41"/>
    </row>
    <row r="601" spans="2:11" x14ac:dyDescent="0.25">
      <c r="B601" s="41"/>
      <c r="C601" s="41"/>
      <c r="D601" s="41"/>
      <c r="E601" s="41"/>
      <c r="F601" s="41"/>
      <c r="G601" s="41"/>
      <c r="H601" s="41"/>
      <c r="I601" s="41"/>
      <c r="J601" s="41"/>
      <c r="K601" s="41"/>
    </row>
    <row r="602" spans="2:11" x14ac:dyDescent="0.25">
      <c r="B602" s="41"/>
      <c r="C602" s="41"/>
      <c r="D602" s="41"/>
      <c r="E602" s="41"/>
      <c r="F602" s="41"/>
      <c r="G602" s="41"/>
      <c r="H602" s="41"/>
      <c r="I602" s="41"/>
      <c r="J602" s="41"/>
      <c r="K602" s="41"/>
    </row>
    <row r="603" spans="2:11" x14ac:dyDescent="0.25">
      <c r="B603" s="41"/>
      <c r="C603" s="41"/>
      <c r="D603" s="41"/>
      <c r="E603" s="41"/>
      <c r="F603" s="41"/>
      <c r="G603" s="41"/>
      <c r="H603" s="41"/>
      <c r="I603" s="41"/>
      <c r="J603" s="41"/>
      <c r="K603" s="41"/>
    </row>
    <row r="604" spans="2:11" x14ac:dyDescent="0.25">
      <c r="B604" s="41"/>
      <c r="C604" s="41"/>
      <c r="D604" s="41"/>
      <c r="E604" s="41"/>
      <c r="F604" s="41"/>
      <c r="G604" s="41"/>
      <c r="H604" s="41"/>
      <c r="I604" s="41"/>
      <c r="J604" s="41"/>
      <c r="K604" s="41"/>
    </row>
    <row r="605" spans="2:11" x14ac:dyDescent="0.25">
      <c r="B605" s="41"/>
      <c r="C605" s="41"/>
      <c r="D605" s="41"/>
      <c r="E605" s="41"/>
      <c r="F605" s="41"/>
      <c r="G605" s="41"/>
      <c r="H605" s="41"/>
      <c r="I605" s="41"/>
      <c r="J605" s="41"/>
      <c r="K605" s="41"/>
    </row>
    <row r="606" spans="2:11" x14ac:dyDescent="0.25">
      <c r="B606" s="41"/>
      <c r="C606" s="41"/>
      <c r="D606" s="41"/>
      <c r="E606" s="41"/>
      <c r="F606" s="41"/>
      <c r="G606" s="41"/>
      <c r="H606" s="41"/>
      <c r="I606" s="41"/>
      <c r="J606" s="41"/>
      <c r="K606" s="41"/>
    </row>
    <row r="607" spans="2:11" x14ac:dyDescent="0.25">
      <c r="B607" s="41"/>
      <c r="C607" s="41"/>
      <c r="D607" s="41"/>
      <c r="E607" s="41"/>
      <c r="F607" s="41"/>
      <c r="G607" s="41"/>
      <c r="H607" s="41"/>
      <c r="I607" s="41"/>
      <c r="J607" s="41"/>
      <c r="K607" s="41"/>
    </row>
    <row r="608" spans="2:11" x14ac:dyDescent="0.25">
      <c r="B608" s="41"/>
      <c r="C608" s="41"/>
      <c r="D608" s="41"/>
      <c r="E608" s="41"/>
      <c r="F608" s="41"/>
      <c r="G608" s="41"/>
      <c r="H608" s="41"/>
      <c r="I608" s="41"/>
      <c r="J608" s="41"/>
      <c r="K608" s="41"/>
    </row>
    <row r="609" spans="2:11" x14ac:dyDescent="0.25">
      <c r="B609" s="41"/>
      <c r="C609" s="41"/>
      <c r="D609" s="41"/>
      <c r="E609" s="41"/>
      <c r="F609" s="41"/>
      <c r="G609" s="41"/>
      <c r="H609" s="41"/>
      <c r="I609" s="41"/>
      <c r="J609" s="41"/>
      <c r="K609" s="41"/>
    </row>
    <row r="610" spans="2:11" x14ac:dyDescent="0.25">
      <c r="B610" s="41"/>
      <c r="C610" s="41"/>
      <c r="D610" s="41"/>
      <c r="E610" s="41"/>
      <c r="F610" s="41"/>
      <c r="G610" s="41"/>
      <c r="H610" s="41"/>
      <c r="I610" s="41"/>
      <c r="J610" s="41"/>
      <c r="K610" s="41"/>
    </row>
    <row r="611" spans="2:11" x14ac:dyDescent="0.25">
      <c r="B611" s="41"/>
      <c r="C611" s="41"/>
      <c r="D611" s="41"/>
      <c r="E611" s="41"/>
      <c r="F611" s="41"/>
      <c r="G611" s="41"/>
      <c r="H611" s="41"/>
      <c r="I611" s="41"/>
      <c r="J611" s="41"/>
      <c r="K611" s="41"/>
    </row>
    <row r="612" spans="2:11" x14ac:dyDescent="0.25">
      <c r="B612" s="41"/>
      <c r="C612" s="41"/>
      <c r="D612" s="41"/>
      <c r="E612" s="41"/>
      <c r="F612" s="41"/>
      <c r="G612" s="41"/>
      <c r="H612" s="41"/>
      <c r="I612" s="41"/>
      <c r="J612" s="41"/>
      <c r="K612" s="41"/>
    </row>
    <row r="613" spans="2:11" x14ac:dyDescent="0.25">
      <c r="B613" s="41"/>
      <c r="C613" s="41"/>
      <c r="D613" s="41"/>
      <c r="E613" s="41"/>
      <c r="F613" s="41"/>
      <c r="G613" s="41"/>
      <c r="H613" s="41"/>
      <c r="I613" s="41"/>
      <c r="J613" s="41"/>
      <c r="K613" s="41"/>
    </row>
    <row r="614" spans="2:11" x14ac:dyDescent="0.25">
      <c r="B614" s="41"/>
      <c r="C614" s="41"/>
      <c r="D614" s="41"/>
      <c r="E614" s="41"/>
      <c r="F614" s="41"/>
      <c r="G614" s="41"/>
      <c r="H614" s="41"/>
      <c r="I614" s="41"/>
      <c r="J614" s="41"/>
      <c r="K614" s="41"/>
    </row>
    <row r="615" spans="2:11" x14ac:dyDescent="0.25">
      <c r="B615" s="41"/>
      <c r="C615" s="41"/>
      <c r="D615" s="41"/>
      <c r="E615" s="41"/>
      <c r="F615" s="41"/>
      <c r="G615" s="41"/>
      <c r="H615" s="41"/>
      <c r="I615" s="41"/>
      <c r="J615" s="41"/>
      <c r="K615" s="41"/>
    </row>
    <row r="616" spans="2:11" x14ac:dyDescent="0.25">
      <c r="B616" s="41"/>
      <c r="C616" s="41"/>
      <c r="D616" s="41"/>
      <c r="E616" s="41"/>
      <c r="F616" s="41"/>
      <c r="G616" s="41"/>
      <c r="H616" s="41"/>
      <c r="I616" s="41"/>
      <c r="J616" s="41"/>
      <c r="K616" s="41"/>
    </row>
    <row r="617" spans="2:11" x14ac:dyDescent="0.25">
      <c r="B617" s="41"/>
      <c r="C617" s="41"/>
      <c r="D617" s="41"/>
      <c r="E617" s="41"/>
      <c r="F617" s="41"/>
      <c r="G617" s="41"/>
      <c r="H617" s="41"/>
      <c r="I617" s="41"/>
      <c r="J617" s="41"/>
      <c r="K617" s="41"/>
    </row>
    <row r="618" spans="2:11" x14ac:dyDescent="0.25">
      <c r="B618" s="41"/>
      <c r="C618" s="41"/>
      <c r="D618" s="41"/>
      <c r="E618" s="41"/>
      <c r="F618" s="41"/>
      <c r="G618" s="41"/>
      <c r="H618" s="41"/>
      <c r="I618" s="41"/>
      <c r="J618" s="41"/>
      <c r="K618" s="41"/>
    </row>
    <row r="619" spans="2:11" x14ac:dyDescent="0.25">
      <c r="B619" s="41"/>
      <c r="C619" s="41"/>
      <c r="D619" s="41"/>
      <c r="E619" s="41"/>
      <c r="F619" s="41"/>
      <c r="G619" s="41"/>
      <c r="H619" s="41"/>
      <c r="I619" s="41"/>
      <c r="J619" s="41"/>
      <c r="K619" s="41"/>
    </row>
    <row r="620" spans="2:11" x14ac:dyDescent="0.25">
      <c r="B620" s="41"/>
      <c r="C620" s="41"/>
      <c r="D620" s="41"/>
      <c r="E620" s="41"/>
      <c r="F620" s="41"/>
      <c r="G620" s="41"/>
      <c r="H620" s="41"/>
      <c r="I620" s="41"/>
      <c r="J620" s="41"/>
      <c r="K620" s="41"/>
    </row>
    <row r="621" spans="2:11" x14ac:dyDescent="0.25">
      <c r="B621" s="41"/>
      <c r="C621" s="41"/>
      <c r="D621" s="41"/>
      <c r="E621" s="41"/>
      <c r="F621" s="41"/>
      <c r="G621" s="41"/>
      <c r="H621" s="41"/>
      <c r="I621" s="41"/>
      <c r="J621" s="41"/>
      <c r="K621" s="41"/>
    </row>
    <row r="622" spans="2:11" x14ac:dyDescent="0.25">
      <c r="B622" s="41"/>
      <c r="C622" s="41"/>
      <c r="D622" s="41"/>
      <c r="E622" s="41"/>
      <c r="F622" s="41"/>
      <c r="G622" s="41"/>
      <c r="H622" s="41"/>
      <c r="I622" s="41"/>
      <c r="J622" s="41"/>
      <c r="K622" s="41"/>
    </row>
    <row r="623" spans="2:11" x14ac:dyDescent="0.25">
      <c r="B623" s="41"/>
      <c r="C623" s="41"/>
      <c r="D623" s="41"/>
      <c r="E623" s="41"/>
      <c r="F623" s="41"/>
      <c r="G623" s="41"/>
      <c r="H623" s="41"/>
      <c r="I623" s="41"/>
      <c r="J623" s="41"/>
      <c r="K623" s="41"/>
    </row>
    <row r="624" spans="2:11" x14ac:dyDescent="0.25">
      <c r="B624" s="41"/>
      <c r="C624" s="41"/>
      <c r="D624" s="41"/>
      <c r="E624" s="41"/>
      <c r="F624" s="41"/>
      <c r="G624" s="41"/>
      <c r="H624" s="41"/>
      <c r="I624" s="41"/>
      <c r="J624" s="41"/>
      <c r="K624" s="41"/>
    </row>
    <row r="625" spans="2:11" x14ac:dyDescent="0.25">
      <c r="B625" s="41"/>
      <c r="C625" s="41"/>
      <c r="D625" s="41"/>
      <c r="E625" s="41"/>
      <c r="F625" s="41"/>
      <c r="G625" s="41"/>
      <c r="H625" s="41"/>
      <c r="I625" s="41"/>
      <c r="J625" s="41"/>
      <c r="K625" s="41"/>
    </row>
    <row r="626" spans="2:11" x14ac:dyDescent="0.25">
      <c r="B626" s="41"/>
      <c r="C626" s="41"/>
      <c r="D626" s="41"/>
      <c r="E626" s="41"/>
      <c r="F626" s="41"/>
      <c r="G626" s="41"/>
      <c r="H626" s="41"/>
      <c r="I626" s="41"/>
      <c r="J626" s="41"/>
      <c r="K626" s="41"/>
    </row>
    <row r="627" spans="2:11" x14ac:dyDescent="0.25">
      <c r="B627" s="41"/>
      <c r="C627" s="41"/>
      <c r="D627" s="41"/>
      <c r="E627" s="41"/>
      <c r="F627" s="41"/>
      <c r="G627" s="41"/>
      <c r="H627" s="41"/>
      <c r="I627" s="41"/>
      <c r="J627" s="41"/>
      <c r="K627" s="41"/>
    </row>
    <row r="628" spans="2:11" x14ac:dyDescent="0.25">
      <c r="B628" s="41"/>
      <c r="C628" s="41"/>
      <c r="D628" s="41"/>
      <c r="E628" s="41"/>
      <c r="F628" s="41"/>
      <c r="G628" s="41"/>
      <c r="H628" s="41"/>
      <c r="I628" s="41"/>
      <c r="J628" s="41"/>
      <c r="K628" s="41"/>
    </row>
    <row r="629" spans="2:11" x14ac:dyDescent="0.25">
      <c r="B629" s="41"/>
      <c r="C629" s="41"/>
      <c r="D629" s="41"/>
      <c r="E629" s="41"/>
      <c r="F629" s="41"/>
      <c r="G629" s="41"/>
      <c r="H629" s="41"/>
      <c r="I629" s="41"/>
      <c r="J629" s="41"/>
      <c r="K629" s="41"/>
    </row>
    <row r="630" spans="2:11" x14ac:dyDescent="0.25">
      <c r="B630" s="41"/>
      <c r="C630" s="41"/>
      <c r="D630" s="41"/>
      <c r="E630" s="41"/>
      <c r="F630" s="41"/>
      <c r="G630" s="41"/>
      <c r="H630" s="41"/>
      <c r="I630" s="41"/>
      <c r="J630" s="41"/>
      <c r="K630" s="41"/>
    </row>
    <row r="631" spans="2:11" x14ac:dyDescent="0.25">
      <c r="B631" s="41"/>
      <c r="C631" s="41"/>
      <c r="D631" s="41"/>
      <c r="E631" s="41"/>
      <c r="F631" s="41"/>
      <c r="G631" s="41"/>
      <c r="H631" s="41"/>
      <c r="I631" s="41"/>
      <c r="J631" s="41"/>
      <c r="K631" s="41"/>
    </row>
    <row r="632" spans="2:11" x14ac:dyDescent="0.25">
      <c r="B632" s="41"/>
      <c r="C632" s="41"/>
      <c r="D632" s="41"/>
      <c r="E632" s="41"/>
      <c r="F632" s="41"/>
      <c r="G632" s="41"/>
      <c r="H632" s="41"/>
      <c r="I632" s="41"/>
      <c r="J632" s="41"/>
      <c r="K632" s="41"/>
    </row>
    <row r="633" spans="2:11" x14ac:dyDescent="0.25">
      <c r="B633" s="41"/>
      <c r="C633" s="41"/>
      <c r="D633" s="41"/>
      <c r="E633" s="41"/>
      <c r="F633" s="41"/>
      <c r="G633" s="41"/>
      <c r="H633" s="41"/>
      <c r="I633" s="41"/>
      <c r="J633" s="41"/>
      <c r="K633" s="41"/>
    </row>
    <row r="634" spans="2:11" x14ac:dyDescent="0.25">
      <c r="B634" s="41"/>
      <c r="C634" s="41"/>
      <c r="D634" s="41"/>
      <c r="E634" s="41"/>
      <c r="F634" s="41"/>
      <c r="G634" s="41"/>
      <c r="H634" s="41"/>
      <c r="I634" s="41"/>
      <c r="J634" s="41"/>
      <c r="K634" s="41"/>
    </row>
    <row r="635" spans="2:11" x14ac:dyDescent="0.25">
      <c r="B635" s="41"/>
      <c r="C635" s="41"/>
      <c r="D635" s="41"/>
      <c r="E635" s="41"/>
      <c r="F635" s="41"/>
      <c r="G635" s="41"/>
      <c r="H635" s="41"/>
      <c r="I635" s="41"/>
      <c r="J635" s="41"/>
      <c r="K635" s="41"/>
    </row>
    <row r="636" spans="2:11" x14ac:dyDescent="0.25">
      <c r="B636" s="41"/>
      <c r="C636" s="41"/>
      <c r="D636" s="41"/>
      <c r="E636" s="41"/>
      <c r="F636" s="41"/>
      <c r="G636" s="41"/>
      <c r="H636" s="41"/>
      <c r="I636" s="41"/>
      <c r="J636" s="41"/>
      <c r="K636" s="41"/>
    </row>
    <row r="637" spans="2:11" x14ac:dyDescent="0.25">
      <c r="B637" s="41"/>
      <c r="C637" s="41"/>
      <c r="D637" s="41"/>
      <c r="E637" s="41"/>
      <c r="F637" s="41"/>
      <c r="G637" s="41"/>
      <c r="H637" s="41"/>
      <c r="I637" s="41"/>
      <c r="J637" s="41"/>
      <c r="K637" s="41"/>
    </row>
    <row r="638" spans="2:11" x14ac:dyDescent="0.25">
      <c r="B638" s="41"/>
      <c r="C638" s="41"/>
      <c r="D638" s="41"/>
      <c r="E638" s="41"/>
      <c r="F638" s="41"/>
      <c r="G638" s="41"/>
      <c r="H638" s="41"/>
      <c r="I638" s="41"/>
      <c r="J638" s="41"/>
      <c r="K638" s="41"/>
    </row>
    <row r="639" spans="2:11" x14ac:dyDescent="0.25">
      <c r="B639" s="41"/>
      <c r="C639" s="41"/>
      <c r="D639" s="41"/>
      <c r="E639" s="41"/>
      <c r="F639" s="41"/>
      <c r="G639" s="41"/>
      <c r="H639" s="41"/>
      <c r="I639" s="41"/>
      <c r="J639" s="41"/>
      <c r="K639" s="41"/>
    </row>
    <row r="640" spans="2:11" x14ac:dyDescent="0.25">
      <c r="B640" s="41"/>
      <c r="C640" s="41"/>
      <c r="D640" s="41"/>
      <c r="E640" s="41"/>
      <c r="F640" s="41"/>
      <c r="G640" s="41"/>
      <c r="H640" s="41"/>
      <c r="I640" s="41"/>
      <c r="J640" s="41"/>
      <c r="K640" s="41"/>
    </row>
    <row r="641" spans="2:11" x14ac:dyDescent="0.25">
      <c r="B641" s="41"/>
      <c r="C641" s="41"/>
      <c r="D641" s="41"/>
      <c r="E641" s="41"/>
      <c r="F641" s="41"/>
      <c r="G641" s="41"/>
      <c r="H641" s="41"/>
      <c r="I641" s="41"/>
      <c r="J641" s="41"/>
      <c r="K641" s="41"/>
    </row>
    <row r="642" spans="2:11" x14ac:dyDescent="0.25">
      <c r="B642" s="41"/>
      <c r="C642" s="41"/>
      <c r="D642" s="41"/>
      <c r="E642" s="41"/>
      <c r="F642" s="41"/>
      <c r="G642" s="41"/>
      <c r="H642" s="41"/>
      <c r="I642" s="41"/>
      <c r="J642" s="41"/>
      <c r="K642" s="41"/>
    </row>
    <row r="643" spans="2:11" x14ac:dyDescent="0.25">
      <c r="B643" s="41"/>
      <c r="C643" s="41"/>
      <c r="D643" s="41"/>
      <c r="E643" s="41"/>
      <c r="F643" s="41"/>
      <c r="G643" s="41"/>
      <c r="H643" s="41"/>
      <c r="I643" s="41"/>
      <c r="J643" s="41"/>
      <c r="K643" s="41"/>
    </row>
    <row r="644" spans="2:11" x14ac:dyDescent="0.25">
      <c r="B644" s="41"/>
      <c r="C644" s="41"/>
      <c r="D644" s="41"/>
      <c r="E644" s="41"/>
      <c r="F644" s="41"/>
      <c r="G644" s="41"/>
      <c r="H644" s="41"/>
      <c r="I644" s="41"/>
      <c r="J644" s="41"/>
      <c r="K644" s="41"/>
    </row>
    <row r="645" spans="2:11" x14ac:dyDescent="0.25">
      <c r="B645" s="41"/>
      <c r="C645" s="41"/>
      <c r="D645" s="41"/>
      <c r="E645" s="41"/>
      <c r="F645" s="41"/>
      <c r="G645" s="41"/>
      <c r="H645" s="41"/>
      <c r="I645" s="41"/>
      <c r="J645" s="41"/>
      <c r="K645" s="41"/>
    </row>
    <row r="646" spans="2:11" x14ac:dyDescent="0.25">
      <c r="B646" s="41"/>
      <c r="C646" s="41"/>
      <c r="D646" s="41"/>
      <c r="E646" s="41"/>
      <c r="F646" s="41"/>
      <c r="G646" s="41"/>
      <c r="H646" s="41"/>
      <c r="I646" s="41"/>
      <c r="J646" s="41"/>
      <c r="K646" s="41"/>
    </row>
    <row r="647" spans="2:11" x14ac:dyDescent="0.25">
      <c r="B647" s="41"/>
      <c r="C647" s="41"/>
      <c r="D647" s="41"/>
      <c r="E647" s="41"/>
      <c r="F647" s="41"/>
      <c r="G647" s="41"/>
      <c r="H647" s="41"/>
      <c r="I647" s="41"/>
      <c r="J647" s="41"/>
      <c r="K647" s="41"/>
    </row>
    <row r="648" spans="2:11" x14ac:dyDescent="0.25">
      <c r="B648" s="41"/>
      <c r="C648" s="41"/>
      <c r="D648" s="41"/>
      <c r="E648" s="41"/>
      <c r="F648" s="41"/>
      <c r="G648" s="41"/>
      <c r="H648" s="41"/>
      <c r="I648" s="41"/>
      <c r="J648" s="41"/>
      <c r="K648" s="41"/>
    </row>
    <row r="649" spans="2:11" x14ac:dyDescent="0.25">
      <c r="B649" s="41"/>
      <c r="C649" s="41"/>
      <c r="D649" s="41"/>
      <c r="E649" s="41"/>
      <c r="F649" s="41"/>
      <c r="G649" s="41"/>
      <c r="H649" s="41"/>
      <c r="I649" s="41"/>
      <c r="J649" s="41"/>
      <c r="K649" s="41"/>
    </row>
    <row r="650" spans="2:11" x14ac:dyDescent="0.25">
      <c r="B650" s="41"/>
      <c r="C650" s="41"/>
      <c r="D650" s="41"/>
      <c r="E650" s="41"/>
      <c r="F650" s="41"/>
      <c r="G650" s="41"/>
      <c r="H650" s="41"/>
      <c r="I650" s="41"/>
      <c r="J650" s="41"/>
      <c r="K650" s="41"/>
    </row>
    <row r="651" spans="2:11" x14ac:dyDescent="0.25">
      <c r="B651" s="41"/>
      <c r="C651" s="41"/>
      <c r="D651" s="41"/>
      <c r="E651" s="41"/>
      <c r="F651" s="41"/>
      <c r="G651" s="41"/>
      <c r="H651" s="41"/>
      <c r="I651" s="41"/>
      <c r="J651" s="41"/>
      <c r="K651" s="41"/>
    </row>
    <row r="652" spans="2:11" x14ac:dyDescent="0.25">
      <c r="B652" s="41"/>
      <c r="C652" s="41"/>
      <c r="D652" s="41"/>
      <c r="E652" s="41"/>
      <c r="F652" s="41"/>
      <c r="G652" s="41"/>
      <c r="H652" s="41"/>
      <c r="I652" s="41"/>
      <c r="J652" s="41"/>
      <c r="K652" s="41"/>
    </row>
    <row r="653" spans="2:11" x14ac:dyDescent="0.25">
      <c r="B653" s="41"/>
      <c r="C653" s="41"/>
      <c r="D653" s="41"/>
      <c r="E653" s="41"/>
      <c r="F653" s="41"/>
      <c r="G653" s="41"/>
      <c r="H653" s="41"/>
      <c r="I653" s="41"/>
      <c r="J653" s="41"/>
      <c r="K653" s="41"/>
    </row>
    <row r="654" spans="2:11" x14ac:dyDescent="0.25">
      <c r="B654" s="41"/>
      <c r="C654" s="41"/>
      <c r="D654" s="41"/>
      <c r="E654" s="41"/>
      <c r="F654" s="41"/>
      <c r="G654" s="41"/>
      <c r="H654" s="41"/>
      <c r="I654" s="41"/>
      <c r="J654" s="41"/>
      <c r="K654" s="41"/>
    </row>
    <row r="655" spans="2:11" x14ac:dyDescent="0.25">
      <c r="B655" s="41"/>
      <c r="C655" s="41"/>
      <c r="D655" s="41"/>
      <c r="E655" s="41"/>
      <c r="F655" s="41"/>
      <c r="G655" s="41"/>
      <c r="H655" s="41"/>
      <c r="I655" s="41"/>
      <c r="J655" s="41"/>
      <c r="K655" s="41"/>
    </row>
    <row r="656" spans="2:11" x14ac:dyDescent="0.25">
      <c r="B656" s="41"/>
      <c r="C656" s="41"/>
      <c r="D656" s="41"/>
      <c r="E656" s="41"/>
      <c r="F656" s="41"/>
      <c r="G656" s="41"/>
      <c r="H656" s="41"/>
      <c r="I656" s="41"/>
      <c r="J656" s="41"/>
      <c r="K656" s="41"/>
    </row>
    <row r="657" spans="2:11" x14ac:dyDescent="0.25">
      <c r="B657" s="41"/>
      <c r="C657" s="41"/>
      <c r="D657" s="41"/>
      <c r="E657" s="41"/>
      <c r="F657" s="41"/>
      <c r="G657" s="41"/>
      <c r="H657" s="41"/>
      <c r="I657" s="41"/>
      <c r="J657" s="41"/>
      <c r="K657" s="41"/>
    </row>
    <row r="658" spans="2:11" x14ac:dyDescent="0.25">
      <c r="B658" s="41"/>
      <c r="C658" s="41"/>
      <c r="D658" s="41"/>
      <c r="E658" s="41"/>
      <c r="F658" s="41"/>
      <c r="G658" s="41"/>
      <c r="H658" s="41"/>
      <c r="I658" s="41"/>
      <c r="J658" s="41"/>
      <c r="K658" s="41"/>
    </row>
    <row r="659" spans="2:11" x14ac:dyDescent="0.25">
      <c r="B659" s="41"/>
      <c r="C659" s="41"/>
      <c r="D659" s="41"/>
      <c r="E659" s="41"/>
      <c r="F659" s="41"/>
      <c r="G659" s="41"/>
      <c r="H659" s="41"/>
      <c r="I659" s="41"/>
      <c r="J659" s="41"/>
      <c r="K659" s="41"/>
    </row>
    <row r="660" spans="2:11" x14ac:dyDescent="0.25">
      <c r="B660" s="41"/>
      <c r="C660" s="41"/>
      <c r="D660" s="41"/>
      <c r="E660" s="41"/>
      <c r="F660" s="41"/>
      <c r="G660" s="41"/>
      <c r="H660" s="41"/>
      <c r="I660" s="41"/>
      <c r="J660" s="41"/>
      <c r="K660" s="41"/>
    </row>
    <row r="661" spans="2:11" x14ac:dyDescent="0.25">
      <c r="B661" s="41"/>
      <c r="C661" s="41"/>
      <c r="D661" s="41"/>
      <c r="E661" s="41"/>
      <c r="F661" s="41"/>
      <c r="G661" s="41"/>
      <c r="H661" s="41"/>
      <c r="I661" s="41"/>
      <c r="J661" s="41"/>
      <c r="K661" s="41"/>
    </row>
    <row r="662" spans="2:11" x14ac:dyDescent="0.25">
      <c r="B662" s="41"/>
      <c r="C662" s="41"/>
      <c r="D662" s="41"/>
      <c r="E662" s="41"/>
      <c r="F662" s="41"/>
      <c r="G662" s="41"/>
      <c r="H662" s="41"/>
      <c r="I662" s="41"/>
      <c r="J662" s="41"/>
      <c r="K662" s="41"/>
    </row>
    <row r="663" spans="2:11" x14ac:dyDescent="0.25">
      <c r="B663" s="41"/>
      <c r="C663" s="41"/>
      <c r="D663" s="41"/>
      <c r="E663" s="41"/>
      <c r="F663" s="41"/>
      <c r="G663" s="41"/>
      <c r="H663" s="41"/>
      <c r="I663" s="41"/>
      <c r="J663" s="41"/>
      <c r="K663" s="41"/>
    </row>
    <row r="664" spans="2:11" x14ac:dyDescent="0.25">
      <c r="B664" s="41"/>
      <c r="C664" s="41"/>
      <c r="D664" s="41"/>
      <c r="E664" s="41"/>
      <c r="F664" s="41"/>
      <c r="G664" s="41"/>
      <c r="H664" s="41"/>
      <c r="I664" s="41"/>
      <c r="J664" s="41"/>
      <c r="K664" s="41"/>
    </row>
    <row r="665" spans="2:11" x14ac:dyDescent="0.25">
      <c r="B665" s="41"/>
      <c r="C665" s="41"/>
      <c r="D665" s="41"/>
      <c r="E665" s="41"/>
      <c r="F665" s="41"/>
      <c r="G665" s="41"/>
      <c r="H665" s="41"/>
      <c r="I665" s="41"/>
      <c r="J665" s="41"/>
      <c r="K665" s="41"/>
    </row>
    <row r="666" spans="2:11" x14ac:dyDescent="0.25">
      <c r="B666" s="41"/>
      <c r="C666" s="41"/>
      <c r="D666" s="41"/>
      <c r="E666" s="41"/>
      <c r="F666" s="41"/>
      <c r="G666" s="41"/>
      <c r="H666" s="41"/>
      <c r="I666" s="41"/>
      <c r="J666" s="41"/>
      <c r="K666" s="41"/>
    </row>
    <row r="667" spans="2:11" x14ac:dyDescent="0.25">
      <c r="B667" s="41"/>
      <c r="C667" s="41"/>
      <c r="D667" s="41"/>
      <c r="E667" s="41"/>
      <c r="F667" s="41"/>
      <c r="G667" s="41"/>
      <c r="H667" s="41"/>
      <c r="I667" s="41"/>
      <c r="J667" s="41"/>
      <c r="K667" s="41"/>
    </row>
    <row r="668" spans="2:11" x14ac:dyDescent="0.25">
      <c r="B668" s="41"/>
      <c r="C668" s="41"/>
      <c r="D668" s="41"/>
      <c r="E668" s="41"/>
      <c r="F668" s="41"/>
      <c r="G668" s="41"/>
      <c r="H668" s="41"/>
      <c r="I668" s="41"/>
      <c r="J668" s="41"/>
      <c r="K668" s="41"/>
    </row>
    <row r="669" spans="2:11" x14ac:dyDescent="0.25">
      <c r="B669" s="41"/>
      <c r="C669" s="41"/>
      <c r="D669" s="41"/>
      <c r="E669" s="41"/>
      <c r="F669" s="41"/>
      <c r="G669" s="41"/>
      <c r="H669" s="41"/>
      <c r="I669" s="41"/>
      <c r="J669" s="41"/>
      <c r="K669" s="41"/>
    </row>
    <row r="670" spans="2:11" x14ac:dyDescent="0.25">
      <c r="B670" s="41"/>
      <c r="C670" s="41"/>
      <c r="D670" s="41"/>
      <c r="E670" s="41"/>
      <c r="F670" s="41"/>
      <c r="G670" s="41"/>
      <c r="H670" s="41"/>
      <c r="I670" s="41"/>
      <c r="J670" s="41"/>
      <c r="K670" s="41"/>
    </row>
    <row r="671" spans="2:11" x14ac:dyDescent="0.25">
      <c r="B671" s="41"/>
      <c r="C671" s="41"/>
      <c r="D671" s="41"/>
      <c r="E671" s="41"/>
      <c r="F671" s="41"/>
      <c r="G671" s="41"/>
      <c r="H671" s="41"/>
      <c r="I671" s="41"/>
      <c r="J671" s="41"/>
      <c r="K671" s="41"/>
    </row>
    <row r="672" spans="2:11" x14ac:dyDescent="0.25">
      <c r="B672" s="41"/>
      <c r="C672" s="41"/>
      <c r="D672" s="41"/>
      <c r="E672" s="41"/>
      <c r="F672" s="41"/>
      <c r="G672" s="41"/>
      <c r="H672" s="41"/>
      <c r="I672" s="41"/>
      <c r="J672" s="41"/>
      <c r="K672" s="41"/>
    </row>
    <row r="673" spans="2:11" x14ac:dyDescent="0.25">
      <c r="B673" s="41"/>
      <c r="C673" s="41"/>
      <c r="D673" s="41"/>
      <c r="E673" s="41"/>
      <c r="F673" s="41"/>
      <c r="G673" s="41"/>
      <c r="H673" s="41"/>
      <c r="I673" s="41"/>
      <c r="J673" s="41"/>
      <c r="K673" s="41"/>
    </row>
    <row r="674" spans="2:11" x14ac:dyDescent="0.25">
      <c r="B674" s="41"/>
      <c r="C674" s="41"/>
      <c r="D674" s="41"/>
      <c r="E674" s="41"/>
      <c r="F674" s="41"/>
      <c r="G674" s="41"/>
      <c r="H674" s="41"/>
      <c r="I674" s="41"/>
      <c r="J674" s="41"/>
      <c r="K674" s="41"/>
    </row>
    <row r="675" spans="2:11" x14ac:dyDescent="0.25">
      <c r="B675" s="41"/>
      <c r="C675" s="41"/>
      <c r="D675" s="41"/>
      <c r="E675" s="41"/>
      <c r="F675" s="41"/>
      <c r="G675" s="41"/>
      <c r="H675" s="41"/>
      <c r="I675" s="41"/>
      <c r="J675" s="41"/>
      <c r="K675" s="41"/>
    </row>
    <row r="676" spans="2:11" x14ac:dyDescent="0.25">
      <c r="B676" s="41"/>
      <c r="C676" s="41"/>
      <c r="D676" s="41"/>
      <c r="E676" s="41"/>
      <c r="F676" s="41"/>
      <c r="G676" s="41"/>
      <c r="H676" s="41"/>
      <c r="I676" s="41"/>
      <c r="J676" s="41"/>
      <c r="K676" s="41"/>
    </row>
    <row r="677" spans="2:11" x14ac:dyDescent="0.25">
      <c r="B677" s="41"/>
      <c r="C677" s="41"/>
      <c r="D677" s="41"/>
      <c r="E677" s="41"/>
      <c r="F677" s="41"/>
      <c r="G677" s="41"/>
      <c r="H677" s="41"/>
      <c r="I677" s="41"/>
      <c r="J677" s="41"/>
      <c r="K677" s="41"/>
    </row>
    <row r="678" spans="2:11" x14ac:dyDescent="0.25">
      <c r="B678" s="41"/>
      <c r="C678" s="41"/>
      <c r="D678" s="41"/>
      <c r="E678" s="41"/>
      <c r="F678" s="41"/>
      <c r="G678" s="41"/>
      <c r="H678" s="41"/>
      <c r="I678" s="41"/>
      <c r="J678" s="41"/>
      <c r="K678" s="41"/>
    </row>
    <row r="679" spans="2:11" x14ac:dyDescent="0.25">
      <c r="B679" s="41"/>
      <c r="C679" s="41"/>
      <c r="D679" s="41"/>
      <c r="E679" s="41"/>
      <c r="F679" s="41"/>
      <c r="G679" s="41"/>
      <c r="H679" s="41"/>
      <c r="I679" s="41"/>
      <c r="J679" s="41"/>
      <c r="K679" s="41"/>
    </row>
    <row r="680" spans="2:11" x14ac:dyDescent="0.25">
      <c r="B680" s="41"/>
      <c r="C680" s="41"/>
      <c r="D680" s="41"/>
      <c r="E680" s="41"/>
      <c r="F680" s="41"/>
      <c r="G680" s="41"/>
      <c r="H680" s="41"/>
      <c r="I680" s="41"/>
      <c r="J680" s="41"/>
      <c r="K680" s="41"/>
    </row>
    <row r="681" spans="2:11" x14ac:dyDescent="0.25">
      <c r="B681" s="41"/>
      <c r="C681" s="41"/>
      <c r="D681" s="41"/>
      <c r="E681" s="41"/>
      <c r="F681" s="41"/>
      <c r="G681" s="41"/>
      <c r="H681" s="41"/>
      <c r="I681" s="41"/>
      <c r="J681" s="41"/>
      <c r="K681" s="41"/>
    </row>
    <row r="682" spans="2:11" x14ac:dyDescent="0.25">
      <c r="B682" s="41"/>
      <c r="C682" s="41"/>
      <c r="D682" s="41"/>
      <c r="E682" s="41"/>
      <c r="F682" s="41"/>
      <c r="G682" s="41"/>
      <c r="H682" s="41"/>
      <c r="I682" s="41"/>
      <c r="J682" s="41"/>
      <c r="K682" s="41"/>
    </row>
    <row r="683" spans="2:11" x14ac:dyDescent="0.25">
      <c r="B683" s="41"/>
      <c r="C683" s="41"/>
      <c r="D683" s="41"/>
      <c r="E683" s="41"/>
      <c r="F683" s="41"/>
      <c r="G683" s="41"/>
      <c r="H683" s="41"/>
      <c r="I683" s="41"/>
      <c r="J683" s="41"/>
      <c r="K683" s="41"/>
    </row>
    <row r="684" spans="2:11" x14ac:dyDescent="0.25">
      <c r="B684" s="41"/>
      <c r="C684" s="41"/>
      <c r="D684" s="41"/>
      <c r="E684" s="41"/>
      <c r="F684" s="41"/>
      <c r="G684" s="41"/>
      <c r="H684" s="41"/>
      <c r="I684" s="41"/>
      <c r="J684" s="41"/>
      <c r="K684" s="41"/>
    </row>
    <row r="685" spans="2:11" x14ac:dyDescent="0.25">
      <c r="B685" s="41"/>
      <c r="C685" s="41"/>
      <c r="D685" s="41"/>
      <c r="E685" s="41"/>
      <c r="F685" s="41"/>
      <c r="G685" s="41"/>
      <c r="H685" s="41"/>
      <c r="I685" s="41"/>
      <c r="J685" s="41"/>
      <c r="K685" s="41"/>
    </row>
    <row r="686" spans="2:11" x14ac:dyDescent="0.25">
      <c r="B686" s="41"/>
      <c r="C686" s="41"/>
      <c r="D686" s="41"/>
      <c r="E686" s="41"/>
      <c r="F686" s="41"/>
      <c r="G686" s="41"/>
      <c r="H686" s="41"/>
      <c r="I686" s="41"/>
      <c r="J686" s="41"/>
      <c r="K686" s="41"/>
    </row>
    <row r="687" spans="2:11" x14ac:dyDescent="0.25">
      <c r="B687" s="41"/>
      <c r="C687" s="41"/>
      <c r="D687" s="41"/>
      <c r="E687" s="41"/>
      <c r="F687" s="41"/>
      <c r="G687" s="41"/>
      <c r="H687" s="41"/>
      <c r="I687" s="41"/>
      <c r="J687" s="41"/>
      <c r="K687" s="41"/>
    </row>
    <row r="688" spans="2:11" x14ac:dyDescent="0.25">
      <c r="B688" s="41"/>
      <c r="C688" s="41"/>
      <c r="D688" s="41"/>
      <c r="E688" s="41"/>
      <c r="F688" s="41"/>
      <c r="G688" s="41"/>
      <c r="H688" s="41"/>
      <c r="I688" s="41"/>
      <c r="J688" s="41"/>
      <c r="K688" s="41"/>
    </row>
    <row r="689" spans="2:11" x14ac:dyDescent="0.25">
      <c r="B689" s="41"/>
      <c r="C689" s="41"/>
      <c r="D689" s="41"/>
      <c r="E689" s="41"/>
      <c r="F689" s="41"/>
      <c r="G689" s="41"/>
      <c r="H689" s="41"/>
      <c r="I689" s="41"/>
      <c r="J689" s="41"/>
      <c r="K689" s="41"/>
    </row>
    <row r="690" spans="2:11" x14ac:dyDescent="0.25">
      <c r="B690" s="41"/>
      <c r="C690" s="41"/>
      <c r="D690" s="41"/>
      <c r="E690" s="41"/>
      <c r="F690" s="41"/>
      <c r="G690" s="41"/>
      <c r="H690" s="41"/>
      <c r="I690" s="41"/>
      <c r="J690" s="41"/>
      <c r="K690" s="41"/>
    </row>
    <row r="691" spans="2:11" x14ac:dyDescent="0.25">
      <c r="B691" s="41"/>
      <c r="C691" s="41"/>
      <c r="D691" s="41"/>
      <c r="E691" s="41"/>
      <c r="F691" s="41"/>
      <c r="G691" s="41"/>
      <c r="H691" s="41"/>
      <c r="I691" s="41"/>
      <c r="J691" s="41"/>
      <c r="K691" s="41"/>
    </row>
    <row r="692" spans="2:11" x14ac:dyDescent="0.25">
      <c r="B692" s="41"/>
      <c r="C692" s="41"/>
      <c r="D692" s="41"/>
      <c r="E692" s="41"/>
      <c r="F692" s="41"/>
      <c r="G692" s="41"/>
      <c r="H692" s="41"/>
      <c r="I692" s="41"/>
      <c r="J692" s="41"/>
      <c r="K692" s="41"/>
    </row>
    <row r="693" spans="2:11" x14ac:dyDescent="0.25">
      <c r="B693" s="41"/>
      <c r="C693" s="41"/>
      <c r="D693" s="41"/>
      <c r="E693" s="41"/>
      <c r="F693" s="41"/>
      <c r="G693" s="41"/>
      <c r="H693" s="41"/>
      <c r="I693" s="41"/>
      <c r="J693" s="41"/>
      <c r="K693" s="41"/>
    </row>
    <row r="694" spans="2:11" x14ac:dyDescent="0.25">
      <c r="B694" s="41"/>
      <c r="C694" s="41"/>
      <c r="D694" s="41"/>
      <c r="E694" s="41"/>
      <c r="F694" s="41"/>
      <c r="G694" s="41"/>
      <c r="H694" s="41"/>
      <c r="I694" s="41"/>
      <c r="J694" s="41"/>
      <c r="K694" s="41"/>
    </row>
    <row r="695" spans="2:11" x14ac:dyDescent="0.25">
      <c r="B695" s="41"/>
      <c r="C695" s="41"/>
      <c r="D695" s="41"/>
      <c r="E695" s="41"/>
      <c r="F695" s="41"/>
      <c r="G695" s="41"/>
      <c r="H695" s="41"/>
      <c r="I695" s="41"/>
      <c r="J695" s="41"/>
      <c r="K695" s="41"/>
    </row>
    <row r="696" spans="2:11" x14ac:dyDescent="0.25">
      <c r="B696" s="41"/>
      <c r="C696" s="41"/>
      <c r="D696" s="41"/>
      <c r="E696" s="41"/>
      <c r="F696" s="41"/>
      <c r="G696" s="41"/>
      <c r="H696" s="41"/>
      <c r="I696" s="41"/>
      <c r="J696" s="41"/>
      <c r="K696" s="41"/>
    </row>
    <row r="697" spans="2:11" x14ac:dyDescent="0.25">
      <c r="B697" s="41"/>
      <c r="C697" s="41"/>
      <c r="D697" s="41"/>
      <c r="E697" s="41"/>
      <c r="F697" s="41"/>
      <c r="G697" s="41"/>
      <c r="H697" s="41"/>
      <c r="I697" s="41"/>
      <c r="J697" s="41"/>
      <c r="K697" s="41"/>
    </row>
    <row r="698" spans="2:11" x14ac:dyDescent="0.25">
      <c r="B698" s="41"/>
      <c r="C698" s="41"/>
      <c r="D698" s="41"/>
      <c r="E698" s="41"/>
      <c r="F698" s="41"/>
      <c r="G698" s="41"/>
      <c r="H698" s="41"/>
      <c r="I698" s="41"/>
      <c r="J698" s="41"/>
      <c r="K698" s="41"/>
    </row>
    <row r="699" spans="2:11" x14ac:dyDescent="0.25">
      <c r="B699" s="41"/>
      <c r="C699" s="41"/>
      <c r="D699" s="41"/>
      <c r="E699" s="41"/>
      <c r="F699" s="41"/>
      <c r="G699" s="41"/>
      <c r="H699" s="41"/>
      <c r="I699" s="41"/>
      <c r="J699" s="41"/>
      <c r="K699" s="41"/>
    </row>
    <row r="700" spans="2:11" x14ac:dyDescent="0.25">
      <c r="B700" s="41"/>
      <c r="C700" s="41"/>
      <c r="D700" s="41"/>
      <c r="E700" s="41"/>
      <c r="F700" s="41"/>
      <c r="G700" s="41"/>
      <c r="H700" s="41"/>
      <c r="I700" s="41"/>
      <c r="J700" s="41"/>
      <c r="K700" s="41"/>
    </row>
    <row r="701" spans="2:11" x14ac:dyDescent="0.25">
      <c r="B701" s="41"/>
      <c r="C701" s="41"/>
      <c r="D701" s="41"/>
      <c r="E701" s="41"/>
      <c r="F701" s="41"/>
      <c r="G701" s="41"/>
      <c r="H701" s="41"/>
      <c r="I701" s="41"/>
      <c r="J701" s="41"/>
      <c r="K701" s="41"/>
    </row>
    <row r="702" spans="2:11" x14ac:dyDescent="0.25">
      <c r="B702" s="41"/>
      <c r="C702" s="41"/>
      <c r="D702" s="41"/>
      <c r="E702" s="41"/>
      <c r="F702" s="41"/>
      <c r="G702" s="41"/>
      <c r="H702" s="41"/>
      <c r="I702" s="41"/>
      <c r="J702" s="41"/>
      <c r="K702" s="41"/>
    </row>
    <row r="703" spans="2:11" x14ac:dyDescent="0.25">
      <c r="B703" s="41"/>
      <c r="C703" s="41"/>
      <c r="D703" s="41"/>
      <c r="E703" s="41"/>
      <c r="F703" s="41"/>
      <c r="G703" s="41"/>
      <c r="H703" s="41"/>
      <c r="I703" s="41"/>
      <c r="J703" s="41"/>
      <c r="K703" s="41"/>
    </row>
    <row r="704" spans="2:11" x14ac:dyDescent="0.25">
      <c r="B704" s="41"/>
      <c r="C704" s="41"/>
      <c r="D704" s="41"/>
      <c r="E704" s="41"/>
      <c r="F704" s="41"/>
      <c r="G704" s="41"/>
      <c r="H704" s="41"/>
      <c r="I704" s="41"/>
      <c r="J704" s="41"/>
      <c r="K704" s="41"/>
    </row>
    <row r="705" spans="2:11" x14ac:dyDescent="0.25">
      <c r="B705" s="41"/>
      <c r="C705" s="41"/>
      <c r="D705" s="41"/>
      <c r="E705" s="41"/>
      <c r="F705" s="41"/>
      <c r="G705" s="41"/>
      <c r="H705" s="41"/>
      <c r="I705" s="41"/>
      <c r="J705" s="41"/>
      <c r="K705" s="41"/>
    </row>
    <row r="706" spans="2:11" x14ac:dyDescent="0.25">
      <c r="B706" s="41"/>
      <c r="C706" s="41"/>
      <c r="D706" s="41"/>
      <c r="E706" s="41"/>
      <c r="F706" s="41"/>
      <c r="G706" s="41"/>
      <c r="H706" s="41"/>
      <c r="I706" s="41"/>
      <c r="J706" s="41"/>
      <c r="K706" s="41"/>
    </row>
    <row r="707" spans="2:11" x14ac:dyDescent="0.25">
      <c r="B707" s="41"/>
      <c r="C707" s="41"/>
      <c r="D707" s="41"/>
      <c r="E707" s="41"/>
      <c r="F707" s="41"/>
      <c r="G707" s="41"/>
      <c r="H707" s="41"/>
      <c r="I707" s="41"/>
      <c r="J707" s="41"/>
      <c r="K707" s="41"/>
    </row>
    <row r="708" spans="2:11" x14ac:dyDescent="0.25">
      <c r="B708" s="41"/>
      <c r="C708" s="41"/>
      <c r="D708" s="41"/>
      <c r="E708" s="41"/>
      <c r="F708" s="41"/>
      <c r="G708" s="41"/>
      <c r="H708" s="41"/>
      <c r="I708" s="41"/>
      <c r="J708" s="41"/>
      <c r="K708" s="41"/>
    </row>
    <row r="709" spans="2:11" x14ac:dyDescent="0.25">
      <c r="B709" s="41"/>
      <c r="C709" s="41"/>
      <c r="D709" s="41"/>
      <c r="E709" s="41"/>
      <c r="F709" s="41"/>
      <c r="G709" s="41"/>
      <c r="H709" s="41"/>
      <c r="I709" s="41"/>
      <c r="J709" s="41"/>
      <c r="K709" s="41"/>
    </row>
    <row r="710" spans="2:11" x14ac:dyDescent="0.25">
      <c r="B710" s="41"/>
      <c r="C710" s="41"/>
      <c r="D710" s="41"/>
      <c r="E710" s="41"/>
      <c r="F710" s="41"/>
      <c r="G710" s="41"/>
      <c r="H710" s="41"/>
      <c r="I710" s="41"/>
      <c r="J710" s="41"/>
      <c r="K710" s="41"/>
    </row>
    <row r="711" spans="2:11" x14ac:dyDescent="0.25">
      <c r="B711" s="41"/>
      <c r="C711" s="41"/>
      <c r="D711" s="41"/>
      <c r="E711" s="41"/>
      <c r="F711" s="41"/>
      <c r="G711" s="41"/>
      <c r="H711" s="41"/>
      <c r="I711" s="41"/>
      <c r="J711" s="41"/>
      <c r="K711" s="41"/>
    </row>
    <row r="712" spans="2:11" x14ac:dyDescent="0.25">
      <c r="B712" s="41"/>
      <c r="C712" s="41"/>
      <c r="D712" s="41"/>
      <c r="E712" s="41"/>
      <c r="F712" s="41"/>
      <c r="G712" s="41"/>
      <c r="H712" s="41"/>
      <c r="I712" s="41"/>
      <c r="J712" s="41"/>
      <c r="K712" s="41"/>
    </row>
    <row r="713" spans="2:11" x14ac:dyDescent="0.25">
      <c r="B713" s="41"/>
      <c r="C713" s="41"/>
      <c r="D713" s="41"/>
      <c r="E713" s="41"/>
      <c r="F713" s="41"/>
      <c r="G713" s="41"/>
      <c r="H713" s="41"/>
      <c r="I713" s="41"/>
      <c r="J713" s="41"/>
      <c r="K713" s="41"/>
    </row>
    <row r="714" spans="2:11" x14ac:dyDescent="0.25">
      <c r="B714" s="41"/>
      <c r="C714" s="41"/>
      <c r="D714" s="41"/>
      <c r="E714" s="41"/>
      <c r="F714" s="41"/>
      <c r="G714" s="41"/>
      <c r="H714" s="41"/>
      <c r="I714" s="41"/>
      <c r="J714" s="41"/>
      <c r="K714" s="41"/>
    </row>
    <row r="715" spans="2:11" x14ac:dyDescent="0.25">
      <c r="B715" s="41"/>
      <c r="C715" s="41"/>
      <c r="D715" s="41"/>
      <c r="E715" s="41"/>
      <c r="F715" s="41"/>
      <c r="G715" s="41"/>
      <c r="H715" s="41"/>
      <c r="I715" s="41"/>
      <c r="J715" s="41"/>
      <c r="K715" s="41"/>
    </row>
    <row r="716" spans="2:11" x14ac:dyDescent="0.25">
      <c r="B716" s="41"/>
      <c r="C716" s="41"/>
      <c r="D716" s="41"/>
      <c r="E716" s="41"/>
      <c r="F716" s="41"/>
      <c r="G716" s="41"/>
      <c r="H716" s="41"/>
      <c r="I716" s="41"/>
      <c r="J716" s="41"/>
      <c r="K716" s="41"/>
    </row>
    <row r="717" spans="2:11" x14ac:dyDescent="0.25">
      <c r="B717" s="41"/>
      <c r="C717" s="41"/>
      <c r="D717" s="41"/>
      <c r="E717" s="41"/>
      <c r="F717" s="41"/>
      <c r="G717" s="41"/>
      <c r="H717" s="41"/>
      <c r="I717" s="41"/>
      <c r="J717" s="41"/>
      <c r="K717" s="41"/>
    </row>
    <row r="718" spans="2:11" x14ac:dyDescent="0.25">
      <c r="B718" s="41"/>
      <c r="C718" s="41"/>
      <c r="D718" s="41"/>
      <c r="E718" s="41"/>
      <c r="F718" s="41"/>
      <c r="G718" s="41"/>
      <c r="H718" s="41"/>
      <c r="I718" s="41"/>
      <c r="J718" s="41"/>
      <c r="K718" s="41"/>
    </row>
    <row r="719" spans="2:11" x14ac:dyDescent="0.25">
      <c r="B719" s="41"/>
      <c r="C719" s="41"/>
      <c r="D719" s="41"/>
      <c r="E719" s="41"/>
      <c r="F719" s="41"/>
      <c r="G719" s="41"/>
      <c r="H719" s="41"/>
      <c r="I719" s="41"/>
      <c r="J719" s="41"/>
      <c r="K719" s="41"/>
    </row>
    <row r="720" spans="2:11" x14ac:dyDescent="0.25">
      <c r="B720" s="41"/>
      <c r="C720" s="41"/>
      <c r="D720" s="41"/>
      <c r="E720" s="41"/>
      <c r="F720" s="41"/>
      <c r="G720" s="41"/>
      <c r="H720" s="41"/>
      <c r="I720" s="41"/>
      <c r="J720" s="41"/>
      <c r="K720" s="41"/>
    </row>
    <row r="721" spans="2:11" x14ac:dyDescent="0.25">
      <c r="B721" s="41"/>
      <c r="C721" s="41"/>
      <c r="D721" s="41"/>
      <c r="E721" s="41"/>
      <c r="F721" s="41"/>
      <c r="G721" s="41"/>
      <c r="H721" s="41"/>
      <c r="I721" s="41"/>
      <c r="J721" s="41"/>
      <c r="K721" s="41"/>
    </row>
    <row r="722" spans="2:11" x14ac:dyDescent="0.25">
      <c r="B722" s="41"/>
      <c r="C722" s="41"/>
      <c r="D722" s="41"/>
      <c r="E722" s="41"/>
      <c r="F722" s="41"/>
      <c r="G722" s="41"/>
      <c r="H722" s="41"/>
      <c r="I722" s="41"/>
      <c r="J722" s="41"/>
      <c r="K722" s="41"/>
    </row>
    <row r="723" spans="2:11" x14ac:dyDescent="0.25">
      <c r="B723" s="41"/>
      <c r="C723" s="41"/>
      <c r="D723" s="41"/>
      <c r="E723" s="41"/>
      <c r="F723" s="41"/>
      <c r="G723" s="41"/>
      <c r="H723" s="41"/>
      <c r="I723" s="41"/>
      <c r="J723" s="41"/>
      <c r="K723" s="41"/>
    </row>
    <row r="724" spans="2:11" x14ac:dyDescent="0.25">
      <c r="B724" s="41"/>
      <c r="C724" s="41"/>
      <c r="D724" s="41"/>
      <c r="E724" s="41"/>
      <c r="F724" s="41"/>
      <c r="G724" s="41"/>
      <c r="H724" s="41"/>
      <c r="I724" s="41"/>
      <c r="J724" s="41"/>
      <c r="K724" s="41"/>
    </row>
    <row r="725" spans="2:11" x14ac:dyDescent="0.25">
      <c r="B725" s="41"/>
      <c r="C725" s="41"/>
      <c r="D725" s="41"/>
      <c r="E725" s="41"/>
      <c r="F725" s="41"/>
      <c r="G725" s="41"/>
      <c r="H725" s="41"/>
      <c r="I725" s="41"/>
      <c r="J725" s="41"/>
      <c r="K725" s="41"/>
    </row>
    <row r="726" spans="2:11" x14ac:dyDescent="0.25">
      <c r="B726" s="41"/>
      <c r="C726" s="41"/>
      <c r="D726" s="41"/>
      <c r="E726" s="41"/>
      <c r="F726" s="41"/>
      <c r="G726" s="41"/>
      <c r="H726" s="41"/>
      <c r="I726" s="41"/>
      <c r="J726" s="41"/>
      <c r="K726" s="41"/>
    </row>
    <row r="727" spans="2:11" x14ac:dyDescent="0.25">
      <c r="B727" s="41"/>
      <c r="C727" s="41"/>
      <c r="D727" s="41"/>
      <c r="E727" s="41"/>
      <c r="F727" s="41"/>
      <c r="G727" s="41"/>
      <c r="H727" s="41"/>
      <c r="I727" s="41"/>
      <c r="J727" s="41"/>
      <c r="K727" s="41"/>
    </row>
    <row r="728" spans="2:11" x14ac:dyDescent="0.25">
      <c r="B728" s="41"/>
      <c r="C728" s="41"/>
      <c r="D728" s="41"/>
      <c r="E728" s="41"/>
      <c r="F728" s="41"/>
      <c r="G728" s="41"/>
      <c r="H728" s="41"/>
      <c r="I728" s="41"/>
      <c r="J728" s="41"/>
      <c r="K728" s="41"/>
    </row>
    <row r="729" spans="2:11" x14ac:dyDescent="0.25">
      <c r="B729" s="41"/>
      <c r="C729" s="41"/>
      <c r="D729" s="41"/>
      <c r="E729" s="41"/>
      <c r="F729" s="41"/>
      <c r="G729" s="41"/>
      <c r="H729" s="41"/>
      <c r="I729" s="41"/>
      <c r="J729" s="41"/>
      <c r="K729" s="41"/>
    </row>
    <row r="730" spans="2:11" x14ac:dyDescent="0.25">
      <c r="B730" s="41"/>
      <c r="C730" s="41"/>
      <c r="D730" s="41"/>
      <c r="E730" s="41"/>
      <c r="F730" s="41"/>
      <c r="G730" s="41"/>
      <c r="H730" s="41"/>
      <c r="I730" s="41"/>
      <c r="J730" s="41"/>
      <c r="K730" s="41"/>
    </row>
    <row r="731" spans="2:11" x14ac:dyDescent="0.25">
      <c r="B731" s="41"/>
      <c r="C731" s="41"/>
      <c r="D731" s="41"/>
      <c r="E731" s="41"/>
      <c r="F731" s="41"/>
      <c r="G731" s="41"/>
      <c r="H731" s="41"/>
      <c r="I731" s="41"/>
      <c r="J731" s="41"/>
      <c r="K731" s="41"/>
    </row>
    <row r="732" spans="2:11" x14ac:dyDescent="0.25">
      <c r="B732" s="41"/>
      <c r="C732" s="41"/>
      <c r="D732" s="41"/>
      <c r="E732" s="41"/>
      <c r="F732" s="41"/>
      <c r="G732" s="41"/>
      <c r="H732" s="41"/>
      <c r="I732" s="41"/>
      <c r="J732" s="41"/>
      <c r="K732" s="41"/>
    </row>
    <row r="733" spans="2:11" x14ac:dyDescent="0.25">
      <c r="B733" s="41"/>
      <c r="C733" s="41"/>
      <c r="D733" s="41"/>
      <c r="E733" s="41"/>
      <c r="F733" s="41"/>
      <c r="G733" s="41"/>
      <c r="H733" s="41"/>
      <c r="I733" s="41"/>
      <c r="J733" s="41"/>
      <c r="K733" s="41"/>
    </row>
    <row r="734" spans="2:11" x14ac:dyDescent="0.25">
      <c r="B734" s="41"/>
      <c r="C734" s="41"/>
      <c r="D734" s="41"/>
      <c r="E734" s="41"/>
      <c r="F734" s="41"/>
      <c r="G734" s="41"/>
      <c r="H734" s="41"/>
      <c r="I734" s="41"/>
      <c r="J734" s="41"/>
      <c r="K734" s="41"/>
    </row>
    <row r="735" spans="2:11" x14ac:dyDescent="0.25">
      <c r="B735" s="41"/>
      <c r="C735" s="41"/>
      <c r="D735" s="41"/>
      <c r="E735" s="41"/>
      <c r="F735" s="41"/>
      <c r="G735" s="41"/>
      <c r="H735" s="41"/>
      <c r="I735" s="41"/>
      <c r="J735" s="41"/>
      <c r="K735" s="41"/>
    </row>
    <row r="736" spans="2:11" x14ac:dyDescent="0.25">
      <c r="B736" s="41"/>
      <c r="C736" s="41"/>
      <c r="D736" s="41"/>
      <c r="E736" s="41"/>
      <c r="F736" s="41"/>
      <c r="G736" s="41"/>
      <c r="H736" s="41"/>
      <c r="I736" s="41"/>
      <c r="J736" s="41"/>
      <c r="K736" s="41"/>
    </row>
    <row r="737" spans="2:11" x14ac:dyDescent="0.25">
      <c r="B737" s="41"/>
      <c r="C737" s="41"/>
      <c r="D737" s="41"/>
      <c r="E737" s="41"/>
      <c r="F737" s="41"/>
      <c r="G737" s="41"/>
      <c r="H737" s="41"/>
      <c r="I737" s="41"/>
      <c r="J737" s="41"/>
      <c r="K737" s="41"/>
    </row>
    <row r="738" spans="2:11" x14ac:dyDescent="0.25">
      <c r="B738" s="41"/>
      <c r="C738" s="41"/>
      <c r="D738" s="41"/>
      <c r="E738" s="41"/>
      <c r="F738" s="41"/>
      <c r="G738" s="41"/>
      <c r="H738" s="41"/>
      <c r="I738" s="41"/>
      <c r="J738" s="41"/>
      <c r="K738" s="41"/>
    </row>
    <row r="739" spans="2:11" x14ac:dyDescent="0.25">
      <c r="B739" s="41"/>
      <c r="C739" s="41"/>
      <c r="D739" s="41"/>
      <c r="E739" s="41"/>
      <c r="F739" s="41"/>
      <c r="G739" s="41"/>
      <c r="H739" s="41"/>
      <c r="I739" s="41"/>
      <c r="J739" s="41"/>
      <c r="K739" s="41"/>
    </row>
    <row r="740" spans="2:11" x14ac:dyDescent="0.25">
      <c r="B740" s="41"/>
      <c r="C740" s="41"/>
      <c r="D740" s="41"/>
      <c r="E740" s="41"/>
      <c r="F740" s="41"/>
      <c r="G740" s="41"/>
      <c r="H740" s="41"/>
      <c r="I740" s="41"/>
      <c r="J740" s="41"/>
      <c r="K740" s="41"/>
    </row>
    <row r="741" spans="2:11" x14ac:dyDescent="0.25">
      <c r="B741" s="41"/>
      <c r="C741" s="41"/>
      <c r="D741" s="41"/>
      <c r="E741" s="41"/>
      <c r="F741" s="41"/>
      <c r="G741" s="41"/>
      <c r="H741" s="41"/>
      <c r="I741" s="41"/>
      <c r="J741" s="41"/>
      <c r="K741" s="41"/>
    </row>
    <row r="742" spans="2:11" x14ac:dyDescent="0.25">
      <c r="B742" s="41"/>
      <c r="C742" s="41"/>
      <c r="D742" s="41"/>
      <c r="E742" s="41"/>
      <c r="F742" s="41"/>
      <c r="G742" s="41"/>
      <c r="H742" s="41"/>
      <c r="I742" s="41"/>
      <c r="J742" s="41"/>
      <c r="K742" s="41"/>
    </row>
    <row r="743" spans="2:11" x14ac:dyDescent="0.25">
      <c r="B743" s="41"/>
      <c r="C743" s="41"/>
      <c r="D743" s="41"/>
      <c r="E743" s="41"/>
      <c r="F743" s="41"/>
      <c r="G743" s="41"/>
      <c r="H743" s="41"/>
      <c r="I743" s="41"/>
      <c r="J743" s="41"/>
      <c r="K743" s="41"/>
    </row>
    <row r="744" spans="2:11" x14ac:dyDescent="0.25">
      <c r="B744" s="41"/>
      <c r="C744" s="41"/>
      <c r="D744" s="41"/>
      <c r="E744" s="41"/>
      <c r="F744" s="41"/>
      <c r="G744" s="41"/>
      <c r="H744" s="41"/>
      <c r="I744" s="41"/>
      <c r="J744" s="41"/>
      <c r="K744" s="41"/>
    </row>
    <row r="745" spans="2:11" x14ac:dyDescent="0.25">
      <c r="B745" s="41"/>
      <c r="C745" s="41"/>
      <c r="D745" s="41"/>
      <c r="E745" s="41"/>
      <c r="F745" s="41"/>
      <c r="G745" s="41"/>
      <c r="H745" s="41"/>
      <c r="I745" s="41"/>
      <c r="J745" s="41"/>
      <c r="K745" s="41"/>
    </row>
    <row r="746" spans="2:11" x14ac:dyDescent="0.25">
      <c r="B746" s="41"/>
      <c r="C746" s="41"/>
      <c r="D746" s="41"/>
      <c r="E746" s="41"/>
      <c r="F746" s="41"/>
      <c r="G746" s="41"/>
      <c r="H746" s="41"/>
      <c r="I746" s="41"/>
      <c r="J746" s="41"/>
      <c r="K746" s="41"/>
    </row>
    <row r="747" spans="2:11" x14ac:dyDescent="0.25">
      <c r="B747" s="41"/>
      <c r="C747" s="41"/>
      <c r="D747" s="41"/>
      <c r="E747" s="41"/>
      <c r="F747" s="41"/>
      <c r="G747" s="41"/>
      <c r="H747" s="41"/>
      <c r="I747" s="41"/>
      <c r="J747" s="41"/>
      <c r="K747" s="41"/>
    </row>
    <row r="748" spans="2:11" x14ac:dyDescent="0.25">
      <c r="B748" s="41"/>
      <c r="C748" s="41"/>
      <c r="D748" s="41"/>
      <c r="E748" s="41"/>
      <c r="F748" s="41"/>
      <c r="G748" s="41"/>
      <c r="H748" s="41"/>
      <c r="I748" s="41"/>
      <c r="J748" s="41"/>
      <c r="K748" s="41"/>
    </row>
    <row r="749" spans="2:11" x14ac:dyDescent="0.25">
      <c r="B749" s="41"/>
      <c r="C749" s="41"/>
      <c r="D749" s="41"/>
      <c r="E749" s="41"/>
      <c r="F749" s="41"/>
      <c r="G749" s="41"/>
      <c r="H749" s="41"/>
      <c r="I749" s="41"/>
      <c r="J749" s="41"/>
      <c r="K749" s="41"/>
    </row>
    <row r="750" spans="2:11" x14ac:dyDescent="0.25">
      <c r="B750" s="41"/>
      <c r="C750" s="41"/>
      <c r="D750" s="41"/>
      <c r="E750" s="41"/>
      <c r="F750" s="41"/>
      <c r="G750" s="41"/>
      <c r="H750" s="41"/>
      <c r="I750" s="41"/>
      <c r="J750" s="41"/>
      <c r="K750" s="41"/>
    </row>
    <row r="751" spans="2:11" x14ac:dyDescent="0.25">
      <c r="B751" s="41"/>
      <c r="C751" s="41"/>
      <c r="D751" s="41"/>
      <c r="E751" s="41"/>
      <c r="F751" s="41"/>
      <c r="G751" s="41"/>
      <c r="H751" s="41"/>
      <c r="I751" s="41"/>
      <c r="J751" s="41"/>
      <c r="K751" s="41"/>
    </row>
    <row r="752" spans="2:11" x14ac:dyDescent="0.25">
      <c r="B752" s="41"/>
      <c r="C752" s="41"/>
      <c r="D752" s="41"/>
      <c r="E752" s="41"/>
      <c r="F752" s="41"/>
      <c r="G752" s="41"/>
      <c r="H752" s="41"/>
      <c r="I752" s="41"/>
      <c r="J752" s="41"/>
      <c r="K752" s="41"/>
    </row>
    <row r="753" spans="2:11" x14ac:dyDescent="0.25">
      <c r="B753" s="41"/>
      <c r="C753" s="41"/>
      <c r="D753" s="41"/>
      <c r="E753" s="41"/>
      <c r="F753" s="41"/>
      <c r="G753" s="41"/>
      <c r="H753" s="41"/>
      <c r="I753" s="41"/>
      <c r="J753" s="41"/>
      <c r="K753" s="41"/>
    </row>
    <row r="754" spans="2:11" x14ac:dyDescent="0.25">
      <c r="B754" s="41"/>
      <c r="C754" s="41"/>
      <c r="D754" s="41"/>
      <c r="E754" s="41"/>
      <c r="F754" s="41"/>
      <c r="G754" s="41"/>
      <c r="H754" s="41"/>
      <c r="I754" s="41"/>
      <c r="J754" s="41"/>
      <c r="K754" s="41"/>
    </row>
    <row r="755" spans="2:11" x14ac:dyDescent="0.25">
      <c r="B755" s="41"/>
      <c r="C755" s="41"/>
      <c r="D755" s="41"/>
      <c r="E755" s="41"/>
      <c r="F755" s="41"/>
      <c r="G755" s="41"/>
      <c r="H755" s="41"/>
      <c r="I755" s="41"/>
      <c r="J755" s="41"/>
      <c r="K755" s="41"/>
    </row>
    <row r="756" spans="2:11" x14ac:dyDescent="0.25">
      <c r="B756" s="41"/>
      <c r="C756" s="41"/>
      <c r="D756" s="41"/>
      <c r="E756" s="41"/>
      <c r="F756" s="41"/>
      <c r="G756" s="41"/>
      <c r="H756" s="41"/>
      <c r="I756" s="41"/>
      <c r="J756" s="41"/>
      <c r="K756" s="41"/>
    </row>
    <row r="757" spans="2:11" x14ac:dyDescent="0.25">
      <c r="B757" s="41"/>
      <c r="C757" s="41"/>
      <c r="D757" s="41"/>
      <c r="E757" s="41"/>
      <c r="F757" s="41"/>
      <c r="G757" s="41"/>
      <c r="H757" s="41"/>
      <c r="I757" s="41"/>
      <c r="J757" s="41"/>
      <c r="K757" s="41"/>
    </row>
    <row r="758" spans="2:11" x14ac:dyDescent="0.25">
      <c r="B758" s="41"/>
      <c r="C758" s="41"/>
      <c r="D758" s="41"/>
      <c r="E758" s="41"/>
      <c r="F758" s="41"/>
      <c r="G758" s="41"/>
      <c r="H758" s="41"/>
      <c r="I758" s="41"/>
      <c r="J758" s="41"/>
      <c r="K758" s="41"/>
    </row>
    <row r="759" spans="2:11" x14ac:dyDescent="0.25">
      <c r="B759" s="41"/>
      <c r="C759" s="41"/>
      <c r="D759" s="41"/>
      <c r="E759" s="41"/>
      <c r="F759" s="41"/>
      <c r="G759" s="41"/>
      <c r="H759" s="41"/>
      <c r="I759" s="41"/>
      <c r="J759" s="41"/>
      <c r="K759" s="41"/>
    </row>
    <row r="760" spans="2:11" x14ac:dyDescent="0.25">
      <c r="B760" s="41"/>
      <c r="C760" s="41"/>
      <c r="D760" s="41"/>
      <c r="E760" s="41"/>
      <c r="F760" s="41"/>
      <c r="G760" s="41"/>
      <c r="H760" s="41"/>
      <c r="I760" s="41"/>
      <c r="J760" s="41"/>
      <c r="K760" s="41"/>
    </row>
    <row r="761" spans="2:11" x14ac:dyDescent="0.25">
      <c r="B761" s="41"/>
      <c r="C761" s="41"/>
      <c r="D761" s="41"/>
      <c r="E761" s="41"/>
      <c r="F761" s="41"/>
      <c r="G761" s="41"/>
      <c r="H761" s="41"/>
      <c r="I761" s="41"/>
      <c r="J761" s="41"/>
      <c r="K761" s="41"/>
    </row>
    <row r="762" spans="2:11" x14ac:dyDescent="0.25">
      <c r="B762" s="41"/>
      <c r="C762" s="41"/>
      <c r="D762" s="41"/>
      <c r="E762" s="41"/>
      <c r="F762" s="41"/>
      <c r="G762" s="41"/>
      <c r="H762" s="41"/>
      <c r="I762" s="41"/>
      <c r="J762" s="41"/>
      <c r="K762" s="41"/>
    </row>
    <row r="763" spans="2:11" x14ac:dyDescent="0.25">
      <c r="B763" s="41"/>
      <c r="C763" s="41"/>
      <c r="D763" s="41"/>
      <c r="E763" s="41"/>
      <c r="F763" s="41"/>
      <c r="G763" s="41"/>
      <c r="H763" s="41"/>
      <c r="I763" s="41"/>
      <c r="J763" s="41"/>
      <c r="K763" s="41"/>
    </row>
    <row r="764" spans="2:11" x14ac:dyDescent="0.25">
      <c r="B764" s="41"/>
      <c r="C764" s="41"/>
      <c r="D764" s="41"/>
      <c r="E764" s="41"/>
      <c r="F764" s="41"/>
      <c r="G764" s="41"/>
      <c r="H764" s="41"/>
      <c r="I764" s="41"/>
      <c r="J764" s="41"/>
      <c r="K764" s="41"/>
    </row>
    <row r="765" spans="2:11" x14ac:dyDescent="0.25">
      <c r="B765" s="41"/>
      <c r="C765" s="41"/>
      <c r="D765" s="41"/>
      <c r="E765" s="41"/>
      <c r="F765" s="41"/>
      <c r="G765" s="41"/>
      <c r="H765" s="41"/>
      <c r="I765" s="41"/>
      <c r="J765" s="41"/>
      <c r="K765" s="41"/>
    </row>
    <row r="766" spans="2:11" x14ac:dyDescent="0.25">
      <c r="B766" s="41"/>
      <c r="C766" s="41"/>
      <c r="D766" s="41"/>
      <c r="E766" s="41"/>
      <c r="F766" s="41"/>
      <c r="G766" s="41"/>
      <c r="H766" s="41"/>
      <c r="I766" s="41"/>
      <c r="J766" s="41"/>
      <c r="K766" s="41"/>
    </row>
    <row r="767" spans="2:11" x14ac:dyDescent="0.25">
      <c r="B767" s="41"/>
      <c r="C767" s="41"/>
      <c r="D767" s="41"/>
      <c r="E767" s="41"/>
      <c r="F767" s="41"/>
      <c r="G767" s="41"/>
      <c r="H767" s="41"/>
      <c r="I767" s="41"/>
      <c r="J767" s="41"/>
      <c r="K767" s="41"/>
    </row>
    <row r="768" spans="2:11" x14ac:dyDescent="0.25">
      <c r="B768" s="41"/>
      <c r="C768" s="41"/>
      <c r="D768" s="41"/>
      <c r="E768" s="41"/>
      <c r="F768" s="41"/>
      <c r="G768" s="41"/>
      <c r="H768" s="41"/>
      <c r="I768" s="41"/>
      <c r="J768" s="41"/>
      <c r="K768" s="41"/>
    </row>
    <row r="769" spans="2:11" x14ac:dyDescent="0.25">
      <c r="B769" s="41"/>
      <c r="C769" s="41"/>
      <c r="D769" s="41"/>
      <c r="E769" s="41"/>
      <c r="F769" s="41"/>
      <c r="G769" s="41"/>
      <c r="H769" s="41"/>
      <c r="I769" s="41"/>
      <c r="J769" s="41"/>
      <c r="K769" s="41"/>
    </row>
    <row r="770" spans="2:11" x14ac:dyDescent="0.25">
      <c r="B770" s="41"/>
      <c r="C770" s="41"/>
      <c r="D770" s="41"/>
      <c r="E770" s="41"/>
      <c r="F770" s="41"/>
      <c r="G770" s="41"/>
      <c r="H770" s="41"/>
      <c r="I770" s="41"/>
      <c r="J770" s="41"/>
      <c r="K770" s="41"/>
    </row>
    <row r="771" spans="2:11" x14ac:dyDescent="0.25">
      <c r="B771" s="41"/>
      <c r="C771" s="41"/>
      <c r="D771" s="41"/>
      <c r="E771" s="41"/>
      <c r="F771" s="41"/>
      <c r="G771" s="41"/>
      <c r="H771" s="41"/>
      <c r="I771" s="41"/>
      <c r="J771" s="41"/>
      <c r="K771" s="41"/>
    </row>
    <row r="772" spans="2:11" x14ac:dyDescent="0.25">
      <c r="B772" s="41"/>
      <c r="C772" s="41"/>
      <c r="D772" s="41"/>
      <c r="E772" s="41"/>
      <c r="F772" s="41"/>
      <c r="G772" s="41"/>
      <c r="H772" s="41"/>
      <c r="I772" s="41"/>
      <c r="J772" s="41"/>
      <c r="K772" s="41"/>
    </row>
    <row r="773" spans="2:11" x14ac:dyDescent="0.25">
      <c r="B773" s="41"/>
      <c r="C773" s="41"/>
      <c r="D773" s="41"/>
      <c r="E773" s="41"/>
      <c r="F773" s="41"/>
      <c r="G773" s="41"/>
      <c r="H773" s="41"/>
      <c r="I773" s="41"/>
      <c r="J773" s="41"/>
      <c r="K773" s="41"/>
    </row>
    <row r="774" spans="2:11" x14ac:dyDescent="0.25">
      <c r="B774" s="41"/>
      <c r="C774" s="41"/>
      <c r="D774" s="41"/>
      <c r="E774" s="41"/>
      <c r="F774" s="41"/>
      <c r="G774" s="41"/>
      <c r="H774" s="41"/>
      <c r="I774" s="41"/>
      <c r="J774" s="41"/>
      <c r="K774" s="41"/>
    </row>
    <row r="775" spans="2:11" x14ac:dyDescent="0.25">
      <c r="B775" s="41"/>
      <c r="C775" s="41"/>
      <c r="D775" s="41"/>
      <c r="E775" s="41"/>
      <c r="F775" s="41"/>
      <c r="G775" s="41"/>
      <c r="H775" s="41"/>
      <c r="I775" s="41"/>
      <c r="J775" s="41"/>
      <c r="K775" s="41"/>
    </row>
    <row r="776" spans="2:11" x14ac:dyDescent="0.25">
      <c r="B776" s="41"/>
      <c r="C776" s="41"/>
      <c r="D776" s="41"/>
      <c r="E776" s="41"/>
      <c r="F776" s="41"/>
      <c r="G776" s="41"/>
      <c r="H776" s="41"/>
      <c r="I776" s="41"/>
      <c r="J776" s="41"/>
      <c r="K776" s="41"/>
    </row>
    <row r="777" spans="2:11" x14ac:dyDescent="0.25">
      <c r="B777" s="41"/>
      <c r="C777" s="41"/>
      <c r="D777" s="41"/>
      <c r="E777" s="41"/>
      <c r="F777" s="41"/>
      <c r="G777" s="41"/>
      <c r="H777" s="41"/>
      <c r="I777" s="41"/>
      <c r="J777" s="41"/>
      <c r="K777" s="41"/>
    </row>
    <row r="778" spans="2:11" x14ac:dyDescent="0.25">
      <c r="B778" s="41"/>
      <c r="C778" s="41"/>
      <c r="D778" s="41"/>
      <c r="E778" s="41"/>
      <c r="F778" s="41"/>
      <c r="G778" s="41"/>
      <c r="H778" s="41"/>
      <c r="I778" s="41"/>
      <c r="J778" s="41"/>
      <c r="K778" s="41"/>
    </row>
    <row r="779" spans="2:11" x14ac:dyDescent="0.25">
      <c r="B779" s="41"/>
      <c r="C779" s="41"/>
      <c r="D779" s="41"/>
      <c r="E779" s="41"/>
      <c r="F779" s="41"/>
      <c r="G779" s="41"/>
      <c r="H779" s="41"/>
      <c r="I779" s="41"/>
      <c r="J779" s="41"/>
      <c r="K779" s="41"/>
    </row>
    <row r="780" spans="2:11" x14ac:dyDescent="0.25">
      <c r="B780" s="41"/>
      <c r="C780" s="41"/>
      <c r="D780" s="41"/>
      <c r="E780" s="41"/>
      <c r="F780" s="41"/>
      <c r="G780" s="41"/>
      <c r="H780" s="41"/>
      <c r="I780" s="41"/>
      <c r="J780" s="41"/>
      <c r="K780" s="41"/>
    </row>
    <row r="781" spans="2:11" x14ac:dyDescent="0.25">
      <c r="B781" s="41"/>
      <c r="C781" s="41"/>
      <c r="D781" s="41"/>
      <c r="E781" s="41"/>
      <c r="F781" s="41"/>
      <c r="G781" s="41"/>
      <c r="H781" s="41"/>
      <c r="I781" s="41"/>
      <c r="J781" s="41"/>
      <c r="K781" s="41"/>
    </row>
    <row r="782" spans="2:11" x14ac:dyDescent="0.25">
      <c r="B782" s="41"/>
      <c r="C782" s="41"/>
      <c r="D782" s="41"/>
      <c r="E782" s="41"/>
      <c r="F782" s="41"/>
      <c r="G782" s="41"/>
      <c r="H782" s="41"/>
      <c r="I782" s="41"/>
      <c r="J782" s="41"/>
      <c r="K782" s="41"/>
    </row>
    <row r="783" spans="2:11" x14ac:dyDescent="0.25">
      <c r="B783" s="41"/>
      <c r="C783" s="41"/>
      <c r="D783" s="41"/>
      <c r="E783" s="41"/>
      <c r="F783" s="41"/>
      <c r="G783" s="41"/>
      <c r="H783" s="41"/>
      <c r="I783" s="41"/>
      <c r="J783" s="41"/>
      <c r="K783" s="41"/>
    </row>
    <row r="784" spans="2:11" x14ac:dyDescent="0.25">
      <c r="B784" s="41"/>
      <c r="C784" s="41"/>
      <c r="D784" s="41"/>
      <c r="E784" s="41"/>
      <c r="F784" s="41"/>
      <c r="G784" s="41"/>
      <c r="H784" s="41"/>
      <c r="I784" s="41"/>
      <c r="J784" s="41"/>
      <c r="K784" s="41"/>
    </row>
    <row r="785" spans="2:11" x14ac:dyDescent="0.25">
      <c r="B785" s="41"/>
      <c r="C785" s="41"/>
      <c r="D785" s="41"/>
      <c r="E785" s="41"/>
      <c r="F785" s="41"/>
      <c r="G785" s="41"/>
      <c r="H785" s="41"/>
      <c r="I785" s="41"/>
      <c r="J785" s="41"/>
      <c r="K785" s="41"/>
    </row>
    <row r="786" spans="2:11" x14ac:dyDescent="0.25">
      <c r="B786" s="41"/>
      <c r="C786" s="41"/>
      <c r="D786" s="41"/>
      <c r="E786" s="41"/>
      <c r="F786" s="41"/>
      <c r="G786" s="41"/>
      <c r="H786" s="41"/>
      <c r="I786" s="41"/>
      <c r="J786" s="41"/>
      <c r="K786" s="41"/>
    </row>
    <row r="787" spans="2:11" x14ac:dyDescent="0.25">
      <c r="B787" s="41"/>
      <c r="C787" s="41"/>
      <c r="D787" s="41"/>
      <c r="E787" s="41"/>
      <c r="F787" s="41"/>
      <c r="G787" s="41"/>
      <c r="H787" s="41"/>
      <c r="I787" s="41"/>
      <c r="J787" s="41"/>
      <c r="K787" s="41"/>
    </row>
    <row r="788" spans="2:11" x14ac:dyDescent="0.25">
      <c r="B788" s="41"/>
      <c r="C788" s="41"/>
      <c r="D788" s="41"/>
      <c r="E788" s="41"/>
      <c r="F788" s="41"/>
      <c r="G788" s="41"/>
      <c r="H788" s="41"/>
      <c r="I788" s="41"/>
      <c r="J788" s="41"/>
      <c r="K788" s="41"/>
    </row>
    <row r="789" spans="2:11" x14ac:dyDescent="0.25">
      <c r="B789" s="41"/>
      <c r="C789" s="41"/>
      <c r="D789" s="41"/>
      <c r="E789" s="41"/>
      <c r="F789" s="41"/>
      <c r="G789" s="41"/>
      <c r="H789" s="41"/>
      <c r="I789" s="41"/>
      <c r="J789" s="41"/>
      <c r="K789" s="41"/>
    </row>
    <row r="790" spans="2:11" x14ac:dyDescent="0.25">
      <c r="B790" s="41"/>
      <c r="C790" s="41"/>
      <c r="D790" s="41"/>
      <c r="E790" s="41"/>
      <c r="F790" s="41"/>
      <c r="G790" s="41"/>
      <c r="H790" s="41"/>
      <c r="I790" s="41"/>
      <c r="J790" s="41"/>
      <c r="K790" s="41"/>
    </row>
    <row r="791" spans="2:11" x14ac:dyDescent="0.25">
      <c r="B791" s="41"/>
      <c r="C791" s="41"/>
      <c r="D791" s="41"/>
      <c r="E791" s="41"/>
      <c r="F791" s="41"/>
      <c r="G791" s="41"/>
      <c r="H791" s="41"/>
      <c r="I791" s="41"/>
      <c r="J791" s="41"/>
      <c r="K791" s="41"/>
    </row>
    <row r="792" spans="2:11" x14ac:dyDescent="0.25">
      <c r="B792" s="41"/>
      <c r="C792" s="41"/>
      <c r="D792" s="41"/>
      <c r="E792" s="41"/>
      <c r="F792" s="41"/>
      <c r="G792" s="41"/>
      <c r="H792" s="41"/>
      <c r="I792" s="41"/>
      <c r="J792" s="41"/>
      <c r="K792" s="41"/>
    </row>
    <row r="793" spans="2:11" x14ac:dyDescent="0.25">
      <c r="B793" s="41"/>
      <c r="C793" s="41"/>
      <c r="D793" s="41"/>
      <c r="E793" s="41"/>
      <c r="F793" s="41"/>
      <c r="G793" s="41"/>
      <c r="H793" s="41"/>
      <c r="I793" s="41"/>
      <c r="J793" s="41"/>
      <c r="K793" s="41"/>
    </row>
    <row r="794" spans="2:11" x14ac:dyDescent="0.25">
      <c r="B794" s="41"/>
      <c r="C794" s="41"/>
      <c r="D794" s="41"/>
      <c r="E794" s="41"/>
      <c r="F794" s="41"/>
      <c r="G794" s="41"/>
      <c r="H794" s="41"/>
      <c r="I794" s="41"/>
      <c r="J794" s="41"/>
      <c r="K794" s="41"/>
    </row>
    <row r="795" spans="2:11" x14ac:dyDescent="0.25">
      <c r="B795" s="41"/>
      <c r="C795" s="41"/>
      <c r="D795" s="41"/>
      <c r="E795" s="41"/>
      <c r="F795" s="41"/>
      <c r="G795" s="41"/>
      <c r="H795" s="41"/>
      <c r="I795" s="41"/>
      <c r="J795" s="41"/>
      <c r="K795" s="41"/>
    </row>
    <row r="796" spans="2:11" x14ac:dyDescent="0.25">
      <c r="B796" s="41"/>
      <c r="C796" s="41"/>
      <c r="D796" s="41"/>
      <c r="E796" s="41"/>
      <c r="F796" s="41"/>
      <c r="G796" s="41"/>
      <c r="H796" s="41"/>
      <c r="I796" s="41"/>
      <c r="J796" s="41"/>
      <c r="K796" s="41"/>
    </row>
    <row r="797" spans="2:11" x14ac:dyDescent="0.25">
      <c r="B797" s="41"/>
      <c r="C797" s="41"/>
      <c r="D797" s="41"/>
      <c r="E797" s="41"/>
      <c r="F797" s="41"/>
      <c r="G797" s="41"/>
      <c r="H797" s="41"/>
      <c r="I797" s="41"/>
      <c r="J797" s="41"/>
      <c r="K797" s="41"/>
    </row>
    <row r="798" spans="2:11" x14ac:dyDescent="0.25">
      <c r="B798" s="41"/>
      <c r="C798" s="41"/>
      <c r="D798" s="41"/>
      <c r="E798" s="41"/>
      <c r="F798" s="41"/>
      <c r="G798" s="41"/>
      <c r="H798" s="41"/>
      <c r="I798" s="41"/>
      <c r="J798" s="41"/>
      <c r="K798" s="41"/>
    </row>
    <row r="799" spans="2:11" x14ac:dyDescent="0.25">
      <c r="B799" s="41"/>
      <c r="C799" s="41"/>
      <c r="D799" s="41"/>
      <c r="E799" s="41"/>
      <c r="F799" s="41"/>
      <c r="G799" s="41"/>
      <c r="H799" s="41"/>
      <c r="I799" s="41"/>
      <c r="J799" s="41"/>
      <c r="K799" s="41"/>
    </row>
    <row r="800" spans="2:11" x14ac:dyDescent="0.25">
      <c r="B800" s="41"/>
      <c r="C800" s="41"/>
      <c r="D800" s="41"/>
      <c r="E800" s="41"/>
      <c r="F800" s="41"/>
      <c r="G800" s="41"/>
      <c r="H800" s="41"/>
      <c r="I800" s="41"/>
      <c r="J800" s="41"/>
      <c r="K800" s="41"/>
    </row>
    <row r="801" spans="2:11" x14ac:dyDescent="0.25">
      <c r="B801" s="41"/>
      <c r="C801" s="41"/>
      <c r="D801" s="41"/>
      <c r="E801" s="41"/>
      <c r="F801" s="41"/>
      <c r="G801" s="41"/>
      <c r="H801" s="41"/>
      <c r="I801" s="41"/>
      <c r="J801" s="41"/>
      <c r="K801" s="41"/>
    </row>
    <row r="802" spans="2:11" x14ac:dyDescent="0.25">
      <c r="B802" s="41"/>
      <c r="C802" s="41"/>
      <c r="D802" s="41"/>
      <c r="E802" s="41"/>
      <c r="F802" s="41"/>
      <c r="G802" s="41"/>
      <c r="H802" s="41"/>
      <c r="I802" s="41"/>
      <c r="J802" s="41"/>
      <c r="K802" s="41"/>
    </row>
    <row r="803" spans="2:11" x14ac:dyDescent="0.25">
      <c r="B803" s="41"/>
      <c r="C803" s="41"/>
      <c r="D803" s="41"/>
      <c r="E803" s="41"/>
      <c r="F803" s="41"/>
      <c r="G803" s="41"/>
      <c r="H803" s="41"/>
      <c r="I803" s="41"/>
      <c r="J803" s="41"/>
      <c r="K803" s="41"/>
    </row>
    <row r="804" spans="2:11" x14ac:dyDescent="0.25">
      <c r="B804" s="41"/>
      <c r="C804" s="41"/>
      <c r="D804" s="41"/>
      <c r="E804" s="41"/>
      <c r="F804" s="41"/>
      <c r="G804" s="41"/>
      <c r="H804" s="41"/>
      <c r="I804" s="41"/>
      <c r="J804" s="41"/>
      <c r="K804" s="41"/>
    </row>
    <row r="805" spans="2:11" x14ac:dyDescent="0.25">
      <c r="B805" s="41"/>
      <c r="C805" s="41"/>
      <c r="D805" s="41"/>
      <c r="E805" s="41"/>
      <c r="F805" s="41"/>
      <c r="G805" s="41"/>
      <c r="H805" s="41"/>
      <c r="I805" s="41"/>
      <c r="J805" s="41"/>
      <c r="K805" s="41"/>
    </row>
    <row r="806" spans="2:11" x14ac:dyDescent="0.25">
      <c r="B806" s="41"/>
      <c r="C806" s="41"/>
      <c r="D806" s="41"/>
      <c r="E806" s="41"/>
      <c r="F806" s="41"/>
      <c r="G806" s="41"/>
      <c r="H806" s="41"/>
      <c r="I806" s="41"/>
      <c r="J806" s="41"/>
      <c r="K806" s="41"/>
    </row>
    <row r="807" spans="2:11" x14ac:dyDescent="0.25">
      <c r="B807" s="41"/>
      <c r="C807" s="41"/>
      <c r="D807" s="41"/>
      <c r="E807" s="41"/>
      <c r="F807" s="41"/>
      <c r="G807" s="41"/>
      <c r="H807" s="41"/>
      <c r="I807" s="41"/>
      <c r="J807" s="41"/>
      <c r="K807" s="41"/>
    </row>
    <row r="808" spans="2:11" x14ac:dyDescent="0.25">
      <c r="B808" s="41"/>
      <c r="C808" s="41"/>
      <c r="D808" s="41"/>
      <c r="E808" s="41"/>
      <c r="F808" s="41"/>
      <c r="G808" s="41"/>
      <c r="H808" s="41"/>
      <c r="I808" s="41"/>
      <c r="J808" s="41"/>
      <c r="K808" s="41"/>
    </row>
    <row r="809" spans="2:11" x14ac:dyDescent="0.25">
      <c r="B809" s="41"/>
      <c r="C809" s="41"/>
      <c r="D809" s="41"/>
      <c r="E809" s="41"/>
      <c r="F809" s="41"/>
      <c r="G809" s="41"/>
      <c r="H809" s="41"/>
      <c r="I809" s="41"/>
      <c r="J809" s="41"/>
      <c r="K809" s="41"/>
    </row>
    <row r="810" spans="2:11" x14ac:dyDescent="0.25">
      <c r="B810" s="41"/>
      <c r="C810" s="41"/>
      <c r="D810" s="41"/>
      <c r="E810" s="41"/>
      <c r="F810" s="41"/>
      <c r="G810" s="41"/>
      <c r="H810" s="41"/>
      <c r="I810" s="41"/>
      <c r="J810" s="41"/>
      <c r="K810" s="41"/>
    </row>
    <row r="811" spans="2:11" x14ac:dyDescent="0.25">
      <c r="B811" s="41"/>
      <c r="C811" s="41"/>
      <c r="D811" s="41"/>
      <c r="E811" s="41"/>
      <c r="F811" s="41"/>
      <c r="G811" s="41"/>
      <c r="H811" s="41"/>
      <c r="I811" s="41"/>
      <c r="J811" s="41"/>
      <c r="K811" s="41"/>
    </row>
    <row r="812" spans="2:11" x14ac:dyDescent="0.25">
      <c r="B812" s="41"/>
      <c r="C812" s="41"/>
      <c r="D812" s="41"/>
      <c r="E812" s="41"/>
      <c r="F812" s="41"/>
      <c r="G812" s="41"/>
      <c r="H812" s="41"/>
      <c r="I812" s="41"/>
      <c r="J812" s="41"/>
      <c r="K812" s="41"/>
    </row>
    <row r="813" spans="2:11" x14ac:dyDescent="0.25">
      <c r="B813" s="41"/>
      <c r="C813" s="41"/>
      <c r="D813" s="41"/>
      <c r="E813" s="41"/>
      <c r="F813" s="41"/>
      <c r="G813" s="41"/>
      <c r="H813" s="41"/>
      <c r="I813" s="41"/>
      <c r="J813" s="41"/>
      <c r="K813" s="41"/>
    </row>
    <row r="814" spans="2:11" x14ac:dyDescent="0.25">
      <c r="B814" s="41"/>
      <c r="C814" s="41"/>
      <c r="D814" s="41"/>
      <c r="E814" s="41"/>
      <c r="F814" s="41"/>
      <c r="G814" s="41"/>
      <c r="H814" s="41"/>
      <c r="I814" s="41"/>
      <c r="J814" s="41"/>
      <c r="K814" s="41"/>
    </row>
    <row r="815" spans="2:11" x14ac:dyDescent="0.25">
      <c r="B815" s="41"/>
      <c r="C815" s="41"/>
      <c r="D815" s="41"/>
      <c r="E815" s="41"/>
      <c r="F815" s="41"/>
      <c r="G815" s="41"/>
      <c r="H815" s="41"/>
      <c r="I815" s="41"/>
      <c r="J815" s="41"/>
      <c r="K815" s="41"/>
    </row>
    <row r="816" spans="2:11" x14ac:dyDescent="0.25">
      <c r="B816" s="41"/>
      <c r="C816" s="41"/>
      <c r="D816" s="41"/>
      <c r="E816" s="41"/>
      <c r="F816" s="41"/>
      <c r="G816" s="41"/>
      <c r="H816" s="41"/>
      <c r="I816" s="41"/>
      <c r="J816" s="41"/>
      <c r="K816" s="41"/>
    </row>
    <row r="817" spans="2:11" x14ac:dyDescent="0.25">
      <c r="B817" s="41"/>
      <c r="C817" s="41"/>
      <c r="D817" s="41"/>
      <c r="E817" s="41"/>
      <c r="F817" s="41"/>
      <c r="G817" s="41"/>
      <c r="H817" s="41"/>
      <c r="I817" s="41"/>
      <c r="J817" s="41"/>
      <c r="K817" s="41"/>
    </row>
    <row r="818" spans="2:11" x14ac:dyDescent="0.25">
      <c r="B818" s="41"/>
      <c r="C818" s="41"/>
      <c r="D818" s="41"/>
      <c r="E818" s="41"/>
      <c r="F818" s="41"/>
      <c r="G818" s="41"/>
      <c r="H818" s="41"/>
      <c r="I818" s="41"/>
      <c r="J818" s="41"/>
      <c r="K818" s="41"/>
    </row>
    <row r="819" spans="2:11" x14ac:dyDescent="0.25">
      <c r="B819" s="41"/>
      <c r="C819" s="41"/>
      <c r="D819" s="41"/>
      <c r="E819" s="41"/>
      <c r="F819" s="41"/>
      <c r="G819" s="41"/>
      <c r="H819" s="41"/>
      <c r="I819" s="41"/>
      <c r="J819" s="41"/>
      <c r="K819" s="41"/>
    </row>
    <row r="820" spans="2:11" x14ac:dyDescent="0.25">
      <c r="B820" s="41"/>
      <c r="C820" s="41"/>
      <c r="D820" s="41"/>
      <c r="E820" s="41"/>
      <c r="F820" s="41"/>
      <c r="G820" s="41"/>
      <c r="H820" s="41"/>
      <c r="I820" s="41"/>
      <c r="J820" s="41"/>
      <c r="K820" s="41"/>
    </row>
    <row r="821" spans="2:11" x14ac:dyDescent="0.25">
      <c r="B821" s="41"/>
      <c r="C821" s="41"/>
      <c r="D821" s="41"/>
      <c r="E821" s="41"/>
      <c r="F821" s="41"/>
      <c r="G821" s="41"/>
      <c r="H821" s="41"/>
      <c r="I821" s="41"/>
      <c r="J821" s="41"/>
      <c r="K821" s="41"/>
    </row>
    <row r="822" spans="2:11" x14ac:dyDescent="0.25">
      <c r="B822" s="41"/>
      <c r="C822" s="41"/>
      <c r="D822" s="41"/>
      <c r="E822" s="41"/>
      <c r="F822" s="41"/>
      <c r="G822" s="41"/>
      <c r="H822" s="41"/>
      <c r="I822" s="41"/>
      <c r="J822" s="41"/>
      <c r="K822" s="41"/>
    </row>
    <row r="823" spans="2:11" x14ac:dyDescent="0.25">
      <c r="B823" s="41"/>
      <c r="C823" s="41"/>
      <c r="D823" s="41"/>
      <c r="E823" s="41"/>
      <c r="F823" s="41"/>
      <c r="G823" s="41"/>
      <c r="H823" s="41"/>
      <c r="I823" s="41"/>
      <c r="J823" s="41"/>
      <c r="K823" s="41"/>
    </row>
    <row r="824" spans="2:11" x14ac:dyDescent="0.25">
      <c r="B824" s="41"/>
      <c r="C824" s="41"/>
      <c r="D824" s="41"/>
      <c r="E824" s="41"/>
      <c r="F824" s="41"/>
      <c r="G824" s="41"/>
      <c r="H824" s="41"/>
      <c r="I824" s="41"/>
      <c r="J824" s="41"/>
      <c r="K824" s="41"/>
    </row>
    <row r="825" spans="2:11" x14ac:dyDescent="0.25">
      <c r="B825" s="41"/>
      <c r="C825" s="41"/>
      <c r="D825" s="41"/>
      <c r="E825" s="41"/>
      <c r="F825" s="41"/>
      <c r="G825" s="41"/>
      <c r="H825" s="41"/>
      <c r="I825" s="41"/>
      <c r="J825" s="41"/>
      <c r="K825" s="41"/>
    </row>
    <row r="826" spans="2:11" x14ac:dyDescent="0.25">
      <c r="B826" s="41"/>
      <c r="C826" s="41"/>
      <c r="D826" s="41"/>
      <c r="E826" s="41"/>
      <c r="F826" s="41"/>
      <c r="G826" s="41"/>
      <c r="H826" s="41"/>
      <c r="I826" s="41"/>
      <c r="J826" s="41"/>
      <c r="K826" s="41"/>
    </row>
    <row r="827" spans="2:11" x14ac:dyDescent="0.25">
      <c r="B827" s="41"/>
      <c r="C827" s="41"/>
      <c r="D827" s="41"/>
      <c r="E827" s="41"/>
      <c r="F827" s="41"/>
      <c r="G827" s="41"/>
      <c r="H827" s="41"/>
      <c r="I827" s="41"/>
      <c r="J827" s="41"/>
      <c r="K827" s="41"/>
    </row>
    <row r="828" spans="2:11" x14ac:dyDescent="0.25">
      <c r="B828" s="41"/>
      <c r="C828" s="41"/>
      <c r="D828" s="41"/>
      <c r="E828" s="41"/>
      <c r="F828" s="41"/>
      <c r="G828" s="41"/>
      <c r="H828" s="41"/>
      <c r="I828" s="41"/>
      <c r="J828" s="41"/>
      <c r="K828" s="41"/>
    </row>
    <row r="829" spans="2:11" x14ac:dyDescent="0.25">
      <c r="B829" s="41"/>
      <c r="C829" s="41"/>
      <c r="D829" s="41"/>
      <c r="E829" s="41"/>
      <c r="F829" s="41"/>
      <c r="G829" s="41"/>
      <c r="H829" s="41"/>
      <c r="I829" s="41"/>
      <c r="J829" s="41"/>
      <c r="K829" s="41"/>
    </row>
    <row r="830" spans="2:11" x14ac:dyDescent="0.25">
      <c r="B830" s="41"/>
      <c r="C830" s="41"/>
      <c r="D830" s="41"/>
      <c r="E830" s="41"/>
      <c r="F830" s="41"/>
      <c r="G830" s="41"/>
      <c r="H830" s="41"/>
      <c r="I830" s="41"/>
      <c r="J830" s="41"/>
      <c r="K830" s="41"/>
    </row>
    <row r="831" spans="2:11" x14ac:dyDescent="0.25">
      <c r="B831" s="41"/>
      <c r="C831" s="41"/>
      <c r="D831" s="41"/>
      <c r="E831" s="41"/>
      <c r="F831" s="41"/>
      <c r="G831" s="41"/>
      <c r="H831" s="41"/>
      <c r="I831" s="41"/>
      <c r="J831" s="41"/>
      <c r="K831" s="41"/>
    </row>
    <row r="832" spans="2:11" x14ac:dyDescent="0.25">
      <c r="B832" s="41"/>
      <c r="C832" s="41"/>
      <c r="D832" s="41"/>
      <c r="E832" s="41"/>
      <c r="F832" s="41"/>
      <c r="G832" s="41"/>
      <c r="H832" s="41"/>
      <c r="I832" s="41"/>
      <c r="J832" s="41"/>
      <c r="K832" s="41"/>
    </row>
    <row r="833" spans="2:11" x14ac:dyDescent="0.25">
      <c r="B833" s="41"/>
      <c r="C833" s="41"/>
      <c r="D833" s="41"/>
      <c r="E833" s="41"/>
      <c r="F833" s="41"/>
      <c r="G833" s="41"/>
      <c r="H833" s="41"/>
      <c r="I833" s="41"/>
      <c r="J833" s="41"/>
      <c r="K833" s="41"/>
    </row>
    <row r="834" spans="2:11" x14ac:dyDescent="0.25">
      <c r="B834" s="41"/>
      <c r="C834" s="41"/>
      <c r="D834" s="41"/>
      <c r="E834" s="41"/>
      <c r="F834" s="41"/>
      <c r="G834" s="41"/>
      <c r="H834" s="41"/>
      <c r="I834" s="41"/>
      <c r="J834" s="41"/>
      <c r="K834" s="41"/>
    </row>
    <row r="835" spans="2:11" x14ac:dyDescent="0.25">
      <c r="B835" s="41"/>
      <c r="C835" s="41"/>
      <c r="D835" s="41"/>
      <c r="E835" s="41"/>
      <c r="F835" s="41"/>
      <c r="G835" s="41"/>
      <c r="H835" s="41"/>
      <c r="I835" s="41"/>
      <c r="J835" s="41"/>
      <c r="K835" s="41"/>
    </row>
    <row r="836" spans="2:11" x14ac:dyDescent="0.25">
      <c r="B836" s="41"/>
      <c r="C836" s="41"/>
      <c r="D836" s="41"/>
      <c r="E836" s="41"/>
      <c r="F836" s="41"/>
      <c r="G836" s="41"/>
      <c r="H836" s="41"/>
      <c r="I836" s="41"/>
      <c r="J836" s="41"/>
      <c r="K836" s="41"/>
    </row>
    <row r="837" spans="2:11" x14ac:dyDescent="0.25">
      <c r="B837" s="41"/>
      <c r="C837" s="41"/>
      <c r="D837" s="41"/>
      <c r="E837" s="41"/>
      <c r="F837" s="41"/>
      <c r="G837" s="41"/>
      <c r="H837" s="41"/>
      <c r="I837" s="41"/>
      <c r="J837" s="41"/>
      <c r="K837" s="41"/>
    </row>
    <row r="838" spans="2:11" x14ac:dyDescent="0.25">
      <c r="B838" s="41"/>
      <c r="C838" s="41"/>
      <c r="D838" s="41"/>
      <c r="E838" s="41"/>
      <c r="F838" s="41"/>
      <c r="G838" s="41"/>
      <c r="H838" s="41"/>
      <c r="I838" s="41"/>
      <c r="J838" s="41"/>
      <c r="K838" s="41"/>
    </row>
    <row r="839" spans="2:11" x14ac:dyDescent="0.25">
      <c r="B839" s="41"/>
      <c r="C839" s="41"/>
      <c r="D839" s="41"/>
      <c r="E839" s="41"/>
      <c r="F839" s="41"/>
      <c r="G839" s="41"/>
      <c r="H839" s="41"/>
      <c r="I839" s="41"/>
      <c r="J839" s="41"/>
      <c r="K839" s="41"/>
    </row>
    <row r="840" spans="2:11" x14ac:dyDescent="0.25">
      <c r="B840" s="41"/>
      <c r="C840" s="41"/>
      <c r="D840" s="41"/>
      <c r="E840" s="41"/>
      <c r="F840" s="41"/>
      <c r="G840" s="41"/>
      <c r="H840" s="41"/>
      <c r="I840" s="41"/>
      <c r="J840" s="41"/>
      <c r="K840" s="41"/>
    </row>
    <row r="841" spans="2:11" x14ac:dyDescent="0.25">
      <c r="B841" s="41"/>
      <c r="C841" s="41"/>
      <c r="D841" s="41"/>
      <c r="E841" s="41"/>
      <c r="F841" s="41"/>
      <c r="G841" s="41"/>
      <c r="H841" s="41"/>
      <c r="I841" s="41"/>
      <c r="J841" s="41"/>
      <c r="K841" s="41"/>
    </row>
    <row r="842" spans="2:11" x14ac:dyDescent="0.25">
      <c r="B842" s="41"/>
      <c r="C842" s="41"/>
      <c r="D842" s="41"/>
      <c r="E842" s="41"/>
      <c r="F842" s="41"/>
      <c r="G842" s="41"/>
      <c r="H842" s="41"/>
      <c r="I842" s="41"/>
      <c r="J842" s="41"/>
      <c r="K842" s="41"/>
    </row>
    <row r="843" spans="2:11" x14ac:dyDescent="0.25">
      <c r="B843" s="41"/>
      <c r="C843" s="41"/>
      <c r="D843" s="41"/>
      <c r="E843" s="41"/>
      <c r="F843" s="41"/>
      <c r="G843" s="41"/>
      <c r="H843" s="41"/>
      <c r="I843" s="41"/>
      <c r="J843" s="41"/>
      <c r="K843" s="41"/>
    </row>
    <row r="844" spans="2:11" x14ac:dyDescent="0.25">
      <c r="B844" s="41"/>
      <c r="C844" s="41"/>
      <c r="D844" s="41"/>
      <c r="E844" s="41"/>
      <c r="F844" s="41"/>
      <c r="G844" s="41"/>
      <c r="H844" s="41"/>
      <c r="I844" s="41"/>
      <c r="J844" s="41"/>
      <c r="K844" s="41"/>
    </row>
    <row r="845" spans="2:11" x14ac:dyDescent="0.25">
      <c r="B845" s="41"/>
      <c r="C845" s="41"/>
      <c r="D845" s="41"/>
      <c r="E845" s="41"/>
      <c r="F845" s="41"/>
      <c r="G845" s="41"/>
      <c r="H845" s="41"/>
      <c r="I845" s="41"/>
      <c r="J845" s="41"/>
      <c r="K845" s="41"/>
    </row>
    <row r="846" spans="2:11" x14ac:dyDescent="0.25">
      <c r="B846" s="41"/>
      <c r="C846" s="41"/>
      <c r="D846" s="41"/>
      <c r="E846" s="41"/>
      <c r="F846" s="41"/>
      <c r="G846" s="41"/>
      <c r="H846" s="41"/>
      <c r="I846" s="41"/>
      <c r="J846" s="41"/>
      <c r="K846" s="41"/>
    </row>
    <row r="847" spans="2:11" x14ac:dyDescent="0.25">
      <c r="B847" s="41"/>
      <c r="C847" s="41"/>
      <c r="D847" s="41"/>
      <c r="E847" s="41"/>
      <c r="F847" s="41"/>
      <c r="G847" s="41"/>
      <c r="H847" s="41"/>
      <c r="I847" s="41"/>
      <c r="J847" s="41"/>
      <c r="K847" s="41"/>
    </row>
    <row r="848" spans="2:11" x14ac:dyDescent="0.25">
      <c r="B848" s="41"/>
      <c r="C848" s="41"/>
      <c r="D848" s="41"/>
      <c r="E848" s="41"/>
      <c r="F848" s="41"/>
      <c r="G848" s="41"/>
      <c r="H848" s="41"/>
      <c r="I848" s="41"/>
      <c r="J848" s="41"/>
      <c r="K848" s="41"/>
    </row>
    <row r="849" spans="2:11" x14ac:dyDescent="0.25">
      <c r="B849" s="41"/>
      <c r="C849" s="41"/>
      <c r="D849" s="41"/>
      <c r="E849" s="41"/>
      <c r="F849" s="41"/>
      <c r="G849" s="41"/>
      <c r="H849" s="41"/>
      <c r="I849" s="41"/>
      <c r="J849" s="41"/>
      <c r="K849" s="41"/>
    </row>
    <row r="850" spans="2:11" x14ac:dyDescent="0.25">
      <c r="B850" s="41"/>
      <c r="C850" s="41"/>
      <c r="D850" s="41"/>
      <c r="E850" s="41"/>
      <c r="F850" s="41"/>
      <c r="G850" s="41"/>
      <c r="H850" s="41"/>
      <c r="I850" s="41"/>
      <c r="J850" s="41"/>
      <c r="K850" s="41"/>
    </row>
    <row r="851" spans="2:11" x14ac:dyDescent="0.25">
      <c r="B851" s="41"/>
      <c r="C851" s="41"/>
      <c r="D851" s="41"/>
      <c r="E851" s="41"/>
      <c r="F851" s="41"/>
      <c r="G851" s="41"/>
      <c r="H851" s="41"/>
      <c r="I851" s="41"/>
      <c r="J851" s="41"/>
      <c r="K851" s="41"/>
    </row>
    <row r="852" spans="2:11" x14ac:dyDescent="0.25">
      <c r="B852" s="41"/>
      <c r="C852" s="41"/>
      <c r="D852" s="41"/>
      <c r="E852" s="41"/>
      <c r="F852" s="41"/>
      <c r="G852" s="41"/>
      <c r="H852" s="41"/>
      <c r="I852" s="41"/>
      <c r="J852" s="41"/>
      <c r="K852" s="41"/>
    </row>
    <row r="853" spans="2:11" x14ac:dyDescent="0.25">
      <c r="B853" s="41"/>
      <c r="C853" s="41"/>
      <c r="D853" s="41"/>
      <c r="E853" s="41"/>
      <c r="F853" s="41"/>
      <c r="G853" s="41"/>
      <c r="H853" s="41"/>
      <c r="I853" s="41"/>
      <c r="J853" s="41"/>
      <c r="K853" s="41"/>
    </row>
    <row r="854" spans="2:11" x14ac:dyDescent="0.25">
      <c r="B854" s="41"/>
      <c r="C854" s="41"/>
      <c r="D854" s="41"/>
      <c r="E854" s="41"/>
      <c r="F854" s="41"/>
      <c r="G854" s="41"/>
      <c r="H854" s="41"/>
      <c r="I854" s="41"/>
      <c r="J854" s="41"/>
      <c r="K854" s="41"/>
    </row>
    <row r="855" spans="2:11" x14ac:dyDescent="0.25">
      <c r="B855" s="41"/>
      <c r="C855" s="41"/>
      <c r="D855" s="41"/>
      <c r="E855" s="41"/>
      <c r="F855" s="41"/>
      <c r="G855" s="41"/>
      <c r="H855" s="41"/>
      <c r="I855" s="41"/>
      <c r="J855" s="41"/>
      <c r="K855" s="41"/>
    </row>
    <row r="856" spans="2:11" x14ac:dyDescent="0.25">
      <c r="B856" s="41"/>
      <c r="C856" s="41"/>
      <c r="D856" s="41"/>
      <c r="E856" s="41"/>
      <c r="F856" s="41"/>
      <c r="G856" s="41"/>
      <c r="H856" s="41"/>
      <c r="I856" s="41"/>
      <c r="J856" s="41"/>
      <c r="K856" s="41"/>
    </row>
    <row r="857" spans="2:11" x14ac:dyDescent="0.25">
      <c r="B857" s="41"/>
      <c r="C857" s="41"/>
      <c r="D857" s="41"/>
      <c r="E857" s="41"/>
      <c r="F857" s="41"/>
      <c r="G857" s="41"/>
      <c r="H857" s="41"/>
      <c r="I857" s="41"/>
      <c r="J857" s="41"/>
      <c r="K857" s="41"/>
    </row>
    <row r="858" spans="2:11" x14ac:dyDescent="0.25">
      <c r="B858" s="41"/>
      <c r="C858" s="41"/>
      <c r="D858" s="41"/>
      <c r="E858" s="41"/>
      <c r="F858" s="41"/>
      <c r="G858" s="41"/>
      <c r="H858" s="41"/>
      <c r="I858" s="41"/>
      <c r="J858" s="41"/>
      <c r="K858" s="41"/>
    </row>
    <row r="859" spans="2:11" x14ac:dyDescent="0.25">
      <c r="B859" s="41"/>
      <c r="C859" s="41"/>
      <c r="D859" s="41"/>
      <c r="E859" s="41"/>
      <c r="F859" s="41"/>
      <c r="G859" s="41"/>
      <c r="H859" s="41"/>
      <c r="I859" s="41"/>
      <c r="J859" s="41"/>
      <c r="K859" s="41"/>
    </row>
    <row r="860" spans="2:11" x14ac:dyDescent="0.25">
      <c r="B860" s="41"/>
      <c r="C860" s="41"/>
      <c r="D860" s="41"/>
      <c r="E860" s="41"/>
      <c r="F860" s="41"/>
      <c r="G860" s="41"/>
      <c r="H860" s="41"/>
      <c r="I860" s="41"/>
      <c r="J860" s="41"/>
      <c r="K860" s="41"/>
    </row>
    <row r="861" spans="2:11" x14ac:dyDescent="0.25">
      <c r="B861" s="41"/>
      <c r="C861" s="41"/>
      <c r="D861" s="41"/>
      <c r="E861" s="41"/>
      <c r="F861" s="41"/>
      <c r="G861" s="41"/>
      <c r="H861" s="41"/>
      <c r="I861" s="41"/>
      <c r="J861" s="41"/>
      <c r="K861" s="41"/>
    </row>
    <row r="862" spans="2:11" x14ac:dyDescent="0.25">
      <c r="B862" s="41"/>
      <c r="C862" s="41"/>
      <c r="D862" s="41"/>
      <c r="E862" s="41"/>
      <c r="F862" s="41"/>
      <c r="G862" s="41"/>
      <c r="H862" s="41"/>
      <c r="I862" s="41"/>
      <c r="J862" s="41"/>
      <c r="K862" s="41"/>
    </row>
    <row r="863" spans="2:11" x14ac:dyDescent="0.25">
      <c r="B863" s="41"/>
      <c r="C863" s="41"/>
      <c r="D863" s="41"/>
      <c r="E863" s="41"/>
      <c r="F863" s="41"/>
      <c r="G863" s="41"/>
      <c r="H863" s="41"/>
      <c r="I863" s="41"/>
      <c r="J863" s="41"/>
      <c r="K863" s="41"/>
    </row>
    <row r="864" spans="2:11" x14ac:dyDescent="0.25">
      <c r="B864" s="41"/>
      <c r="C864" s="41"/>
      <c r="D864" s="41"/>
      <c r="E864" s="41"/>
      <c r="F864" s="41"/>
      <c r="G864" s="41"/>
      <c r="H864" s="41"/>
      <c r="I864" s="41"/>
      <c r="J864" s="41"/>
      <c r="K864" s="41"/>
    </row>
    <row r="865" spans="2:11" x14ac:dyDescent="0.25">
      <c r="B865" s="41"/>
      <c r="C865" s="41"/>
      <c r="D865" s="41"/>
      <c r="E865" s="41"/>
      <c r="F865" s="41"/>
      <c r="G865" s="41"/>
      <c r="H865" s="41"/>
      <c r="I865" s="41"/>
      <c r="J865" s="41"/>
      <c r="K865" s="41"/>
    </row>
    <row r="866" spans="2:11" x14ac:dyDescent="0.25">
      <c r="B866" s="41"/>
      <c r="C866" s="41"/>
      <c r="D866" s="41"/>
      <c r="E866" s="41"/>
      <c r="F866" s="41"/>
      <c r="G866" s="41"/>
      <c r="H866" s="41"/>
      <c r="I866" s="41"/>
      <c r="J866" s="41"/>
      <c r="K866" s="41"/>
    </row>
    <row r="867" spans="2:11" x14ac:dyDescent="0.25">
      <c r="B867" s="41"/>
      <c r="C867" s="41"/>
      <c r="D867" s="41"/>
      <c r="E867" s="41"/>
      <c r="F867" s="41"/>
      <c r="G867" s="41"/>
      <c r="H867" s="41"/>
      <c r="I867" s="41"/>
      <c r="J867" s="41"/>
      <c r="K867" s="41"/>
    </row>
    <row r="868" spans="2:11" x14ac:dyDescent="0.25">
      <c r="B868" s="41"/>
      <c r="C868" s="41"/>
      <c r="D868" s="41"/>
      <c r="E868" s="41"/>
      <c r="F868" s="41"/>
      <c r="G868" s="41"/>
      <c r="H868" s="41"/>
      <c r="I868" s="41"/>
      <c r="J868" s="41"/>
      <c r="K868" s="41"/>
    </row>
    <row r="869" spans="2:11" x14ac:dyDescent="0.25">
      <c r="B869" s="41"/>
      <c r="C869" s="41"/>
      <c r="D869" s="41"/>
      <c r="E869" s="41"/>
      <c r="F869" s="41"/>
      <c r="G869" s="41"/>
      <c r="H869" s="41"/>
      <c r="I869" s="41"/>
      <c r="J869" s="41"/>
      <c r="K869" s="41"/>
    </row>
    <row r="870" spans="2:11" x14ac:dyDescent="0.25">
      <c r="B870" s="41"/>
      <c r="C870" s="41"/>
      <c r="D870" s="41"/>
      <c r="E870" s="41"/>
      <c r="F870" s="41"/>
      <c r="G870" s="41"/>
      <c r="H870" s="41"/>
      <c r="I870" s="41"/>
      <c r="J870" s="41"/>
      <c r="K870" s="41"/>
    </row>
    <row r="871" spans="2:11" x14ac:dyDescent="0.25">
      <c r="B871" s="41"/>
      <c r="C871" s="41"/>
      <c r="D871" s="41"/>
      <c r="E871" s="41"/>
      <c r="F871" s="41"/>
      <c r="G871" s="41"/>
      <c r="H871" s="41"/>
      <c r="I871" s="41"/>
      <c r="J871" s="41"/>
      <c r="K871" s="41"/>
    </row>
    <row r="872" spans="2:11" x14ac:dyDescent="0.25">
      <c r="B872" s="41"/>
      <c r="C872" s="41"/>
      <c r="D872" s="41"/>
      <c r="E872" s="41"/>
      <c r="F872" s="41"/>
      <c r="G872" s="41"/>
      <c r="H872" s="41"/>
      <c r="I872" s="41"/>
      <c r="J872" s="41"/>
      <c r="K872" s="41"/>
    </row>
    <row r="873" spans="2:11" x14ac:dyDescent="0.25">
      <c r="B873" s="41"/>
      <c r="C873" s="41"/>
      <c r="D873" s="41"/>
      <c r="E873" s="41"/>
      <c r="F873" s="41"/>
      <c r="G873" s="41"/>
      <c r="H873" s="41"/>
      <c r="I873" s="41"/>
      <c r="J873" s="41"/>
      <c r="K873" s="41"/>
    </row>
    <row r="874" spans="2:11" x14ac:dyDescent="0.25">
      <c r="B874" s="41"/>
      <c r="C874" s="41"/>
      <c r="D874" s="41"/>
      <c r="E874" s="41"/>
      <c r="F874" s="41"/>
      <c r="G874" s="41"/>
      <c r="H874" s="41"/>
      <c r="I874" s="41"/>
      <c r="J874" s="41"/>
      <c r="K874" s="41"/>
    </row>
    <row r="875" spans="2:11" x14ac:dyDescent="0.25">
      <c r="B875" s="41"/>
      <c r="C875" s="41"/>
      <c r="D875" s="41"/>
      <c r="E875" s="41"/>
      <c r="F875" s="41"/>
      <c r="G875" s="41"/>
      <c r="H875" s="41"/>
      <c r="I875" s="41"/>
      <c r="J875" s="41"/>
      <c r="K875" s="41"/>
    </row>
    <row r="876" spans="2:11" x14ac:dyDescent="0.25">
      <c r="B876" s="41"/>
      <c r="C876" s="41"/>
      <c r="D876" s="41"/>
      <c r="E876" s="41"/>
      <c r="F876" s="41"/>
      <c r="G876" s="41"/>
      <c r="H876" s="41"/>
      <c r="I876" s="41"/>
      <c r="J876" s="41"/>
      <c r="K876" s="41"/>
    </row>
    <row r="877" spans="2:11" x14ac:dyDescent="0.25">
      <c r="B877" s="41"/>
      <c r="C877" s="41"/>
      <c r="D877" s="41"/>
      <c r="E877" s="41"/>
      <c r="F877" s="41"/>
      <c r="G877" s="41"/>
      <c r="H877" s="41"/>
      <c r="I877" s="41"/>
      <c r="J877" s="41"/>
      <c r="K877" s="41"/>
    </row>
    <row r="878" spans="2:11" x14ac:dyDescent="0.25">
      <c r="B878" s="41"/>
      <c r="C878" s="41"/>
      <c r="D878" s="41"/>
      <c r="E878" s="41"/>
      <c r="F878" s="41"/>
      <c r="G878" s="41"/>
      <c r="H878" s="41"/>
      <c r="I878" s="41"/>
      <c r="J878" s="41"/>
      <c r="K878" s="41"/>
    </row>
    <row r="879" spans="2:11" x14ac:dyDescent="0.25">
      <c r="B879" s="41"/>
      <c r="C879" s="41"/>
      <c r="D879" s="41"/>
      <c r="E879" s="41"/>
      <c r="F879" s="41"/>
      <c r="G879" s="41"/>
      <c r="H879" s="41"/>
      <c r="I879" s="41"/>
      <c r="J879" s="41"/>
      <c r="K879" s="41"/>
    </row>
    <row r="880" spans="2:11" x14ac:dyDescent="0.25">
      <c r="B880" s="41"/>
      <c r="C880" s="41"/>
      <c r="D880" s="41"/>
      <c r="E880" s="41"/>
      <c r="F880" s="41"/>
      <c r="G880" s="41"/>
      <c r="H880" s="41"/>
      <c r="I880" s="41"/>
      <c r="J880" s="41"/>
      <c r="K880" s="41"/>
    </row>
    <row r="881" spans="2:11" x14ac:dyDescent="0.25">
      <c r="B881" s="41"/>
      <c r="C881" s="41"/>
      <c r="D881" s="41"/>
      <c r="E881" s="41"/>
      <c r="F881" s="41"/>
      <c r="G881" s="41"/>
      <c r="H881" s="41"/>
      <c r="I881" s="41"/>
      <c r="J881" s="41"/>
      <c r="K881" s="41"/>
    </row>
    <row r="882" spans="2:11" x14ac:dyDescent="0.25">
      <c r="B882" s="41"/>
      <c r="C882" s="41"/>
      <c r="D882" s="41"/>
      <c r="E882" s="41"/>
      <c r="F882" s="41"/>
      <c r="G882" s="41"/>
      <c r="H882" s="41"/>
      <c r="I882" s="41"/>
      <c r="J882" s="41"/>
      <c r="K882" s="41"/>
    </row>
    <row r="883" spans="2:11" x14ac:dyDescent="0.25">
      <c r="B883" s="41"/>
      <c r="C883" s="41"/>
      <c r="D883" s="41"/>
      <c r="E883" s="41"/>
      <c r="F883" s="41"/>
      <c r="G883" s="41"/>
      <c r="H883" s="41"/>
      <c r="I883" s="41"/>
      <c r="J883" s="41"/>
      <c r="K883" s="41"/>
    </row>
    <row r="884" spans="2:11" x14ac:dyDescent="0.25">
      <c r="B884" s="41"/>
      <c r="C884" s="41"/>
      <c r="D884" s="41"/>
      <c r="E884" s="41"/>
      <c r="F884" s="41"/>
      <c r="G884" s="41"/>
      <c r="H884" s="41"/>
      <c r="I884" s="41"/>
      <c r="J884" s="41"/>
      <c r="K884" s="41"/>
    </row>
    <row r="885" spans="2:11" x14ac:dyDescent="0.25">
      <c r="B885" s="41"/>
      <c r="C885" s="41"/>
      <c r="D885" s="41"/>
      <c r="E885" s="41"/>
      <c r="F885" s="41"/>
      <c r="G885" s="41"/>
      <c r="H885" s="41"/>
      <c r="I885" s="41"/>
      <c r="J885" s="41"/>
      <c r="K885" s="41"/>
    </row>
    <row r="886" spans="2:11" x14ac:dyDescent="0.25">
      <c r="B886" s="41"/>
      <c r="C886" s="41"/>
      <c r="D886" s="41"/>
      <c r="E886" s="41"/>
      <c r="F886" s="41"/>
      <c r="G886" s="41"/>
      <c r="H886" s="41"/>
      <c r="I886" s="41"/>
      <c r="J886" s="41"/>
      <c r="K886" s="41"/>
    </row>
    <row r="887" spans="2:11" x14ac:dyDescent="0.25">
      <c r="B887" s="41"/>
      <c r="C887" s="41"/>
      <c r="D887" s="41"/>
      <c r="E887" s="41"/>
      <c r="F887" s="41"/>
      <c r="G887" s="41"/>
      <c r="H887" s="41"/>
      <c r="I887" s="41"/>
      <c r="J887" s="41"/>
      <c r="K887" s="41"/>
    </row>
    <row r="888" spans="2:11" x14ac:dyDescent="0.25">
      <c r="B888" s="41"/>
      <c r="C888" s="41"/>
      <c r="D888" s="41"/>
      <c r="E888" s="41"/>
      <c r="F888" s="41"/>
      <c r="G888" s="41"/>
      <c r="H888" s="41"/>
      <c r="I888" s="41"/>
      <c r="J888" s="41"/>
      <c r="K888" s="41"/>
    </row>
    <row r="889" spans="2:11" x14ac:dyDescent="0.25">
      <c r="B889" s="41"/>
      <c r="C889" s="41"/>
      <c r="D889" s="41"/>
      <c r="E889" s="41"/>
      <c r="F889" s="41"/>
      <c r="G889" s="41"/>
      <c r="H889" s="41"/>
      <c r="I889" s="41"/>
      <c r="J889" s="41"/>
      <c r="K889" s="41"/>
    </row>
    <row r="890" spans="2:11" x14ac:dyDescent="0.25">
      <c r="B890" s="41"/>
      <c r="C890" s="41"/>
      <c r="D890" s="41"/>
      <c r="E890" s="41"/>
      <c r="F890" s="41"/>
      <c r="G890" s="41"/>
      <c r="H890" s="41"/>
      <c r="I890" s="41"/>
      <c r="J890" s="41"/>
      <c r="K890" s="41"/>
    </row>
    <row r="891" spans="2:11" x14ac:dyDescent="0.25">
      <c r="B891" s="41"/>
      <c r="C891" s="41"/>
      <c r="D891" s="41"/>
      <c r="E891" s="41"/>
      <c r="F891" s="41"/>
      <c r="G891" s="41"/>
      <c r="H891" s="41"/>
      <c r="I891" s="41"/>
      <c r="J891" s="41"/>
      <c r="K891" s="41"/>
    </row>
    <row r="892" spans="2:11" x14ac:dyDescent="0.25">
      <c r="B892" s="41"/>
      <c r="C892" s="41"/>
      <c r="D892" s="41"/>
      <c r="E892" s="41"/>
      <c r="F892" s="41"/>
      <c r="G892" s="41"/>
      <c r="H892" s="41"/>
      <c r="I892" s="41"/>
      <c r="J892" s="41"/>
      <c r="K892" s="41"/>
    </row>
    <row r="893" spans="2:11" x14ac:dyDescent="0.25">
      <c r="B893" s="41"/>
      <c r="C893" s="41"/>
      <c r="D893" s="41"/>
      <c r="E893" s="41"/>
      <c r="F893" s="41"/>
      <c r="G893" s="41"/>
      <c r="H893" s="41"/>
      <c r="I893" s="41"/>
      <c r="J893" s="41"/>
      <c r="K893" s="41"/>
    </row>
    <row r="894" spans="2:11" x14ac:dyDescent="0.25">
      <c r="B894" s="41"/>
      <c r="C894" s="41"/>
      <c r="D894" s="41"/>
      <c r="E894" s="41"/>
      <c r="F894" s="41"/>
      <c r="G894" s="41"/>
      <c r="H894" s="41"/>
      <c r="I894" s="41"/>
      <c r="J894" s="41"/>
      <c r="K894" s="41"/>
    </row>
    <row r="895" spans="2:11" x14ac:dyDescent="0.25">
      <c r="B895" s="41"/>
      <c r="C895" s="41"/>
      <c r="D895" s="41"/>
      <c r="E895" s="41"/>
      <c r="F895" s="41"/>
      <c r="G895" s="41"/>
      <c r="H895" s="41"/>
      <c r="I895" s="41"/>
      <c r="J895" s="41"/>
      <c r="K895" s="41"/>
    </row>
    <row r="896" spans="2:11" x14ac:dyDescent="0.25">
      <c r="B896" s="41"/>
      <c r="C896" s="41"/>
      <c r="D896" s="41"/>
      <c r="E896" s="41"/>
      <c r="F896" s="41"/>
      <c r="G896" s="41"/>
      <c r="H896" s="41"/>
      <c r="I896" s="41"/>
      <c r="J896" s="41"/>
      <c r="K896" s="41"/>
    </row>
    <row r="897" spans="2:11" x14ac:dyDescent="0.25">
      <c r="B897" s="41"/>
      <c r="C897" s="41"/>
      <c r="D897" s="41"/>
      <c r="E897" s="41"/>
      <c r="F897" s="41"/>
      <c r="G897" s="41"/>
      <c r="H897" s="41"/>
      <c r="I897" s="41"/>
      <c r="J897" s="41"/>
      <c r="K897" s="41"/>
    </row>
    <row r="898" spans="2:11" x14ac:dyDescent="0.25">
      <c r="B898" s="41"/>
      <c r="C898" s="41"/>
      <c r="D898" s="41"/>
      <c r="E898" s="41"/>
      <c r="F898" s="41"/>
      <c r="G898" s="41"/>
      <c r="H898" s="41"/>
      <c r="I898" s="41"/>
      <c r="J898" s="41"/>
      <c r="K898" s="41"/>
    </row>
    <row r="899" spans="2:11" x14ac:dyDescent="0.25">
      <c r="B899" s="41"/>
      <c r="C899" s="41"/>
      <c r="D899" s="41"/>
      <c r="E899" s="41"/>
      <c r="F899" s="41"/>
      <c r="G899" s="41"/>
      <c r="H899" s="41"/>
      <c r="I899" s="41"/>
      <c r="J899" s="41"/>
      <c r="K899" s="41"/>
    </row>
    <row r="900" spans="2:11" x14ac:dyDescent="0.25">
      <c r="B900" s="41"/>
      <c r="C900" s="41"/>
      <c r="D900" s="41"/>
      <c r="E900" s="41"/>
      <c r="F900" s="41"/>
      <c r="G900" s="41"/>
      <c r="H900" s="41"/>
      <c r="I900" s="41"/>
      <c r="J900" s="41"/>
      <c r="K900" s="41"/>
    </row>
    <row r="901" spans="2:11" x14ac:dyDescent="0.25">
      <c r="B901" s="41"/>
      <c r="C901" s="41"/>
      <c r="D901" s="41"/>
      <c r="E901" s="41"/>
      <c r="F901" s="41"/>
      <c r="G901" s="41"/>
      <c r="H901" s="41"/>
      <c r="I901" s="41"/>
      <c r="J901" s="41"/>
      <c r="K901" s="41"/>
    </row>
    <row r="902" spans="2:11" x14ac:dyDescent="0.25">
      <c r="B902" s="41"/>
      <c r="C902" s="41"/>
      <c r="D902" s="41"/>
      <c r="E902" s="41"/>
      <c r="F902" s="41"/>
      <c r="G902" s="41"/>
      <c r="H902" s="41"/>
      <c r="I902" s="41"/>
      <c r="J902" s="41"/>
      <c r="K902" s="41"/>
    </row>
    <row r="903" spans="2:11" x14ac:dyDescent="0.25">
      <c r="B903" s="41"/>
      <c r="C903" s="41"/>
      <c r="D903" s="41"/>
      <c r="E903" s="41"/>
      <c r="F903" s="41"/>
      <c r="G903" s="41"/>
      <c r="H903" s="41"/>
      <c r="I903" s="41"/>
      <c r="J903" s="41"/>
      <c r="K903" s="41"/>
    </row>
    <row r="904" spans="2:11" x14ac:dyDescent="0.25">
      <c r="B904" s="41"/>
      <c r="C904" s="41"/>
      <c r="D904" s="41"/>
      <c r="E904" s="41"/>
      <c r="F904" s="41"/>
      <c r="G904" s="41"/>
      <c r="H904" s="41"/>
      <c r="I904" s="41"/>
      <c r="J904" s="41"/>
      <c r="K904" s="41"/>
    </row>
    <row r="905" spans="2:11" x14ac:dyDescent="0.25">
      <c r="B905" s="41"/>
      <c r="C905" s="41"/>
      <c r="D905" s="41"/>
      <c r="E905" s="41"/>
      <c r="F905" s="41"/>
      <c r="G905" s="41"/>
      <c r="H905" s="41"/>
      <c r="I905" s="41"/>
      <c r="J905" s="41"/>
      <c r="K905" s="41"/>
    </row>
    <row r="906" spans="2:11" x14ac:dyDescent="0.25">
      <c r="B906" s="41"/>
      <c r="C906" s="41"/>
      <c r="D906" s="41"/>
      <c r="E906" s="41"/>
      <c r="F906" s="41"/>
      <c r="G906" s="41"/>
      <c r="H906" s="41"/>
      <c r="I906" s="41"/>
      <c r="J906" s="41"/>
      <c r="K906" s="41"/>
    </row>
    <row r="907" spans="2:11" x14ac:dyDescent="0.25">
      <c r="B907" s="41"/>
      <c r="C907" s="41"/>
      <c r="D907" s="41"/>
      <c r="E907" s="41"/>
      <c r="F907" s="41"/>
      <c r="G907" s="41"/>
      <c r="H907" s="41"/>
      <c r="I907" s="41"/>
      <c r="J907" s="41"/>
      <c r="K907" s="41"/>
    </row>
    <row r="908" spans="2:11" x14ac:dyDescent="0.25">
      <c r="B908" s="41"/>
      <c r="C908" s="41"/>
      <c r="D908" s="41"/>
      <c r="E908" s="41"/>
      <c r="F908" s="41"/>
      <c r="G908" s="41"/>
      <c r="H908" s="41"/>
      <c r="I908" s="41"/>
      <c r="J908" s="41"/>
      <c r="K908" s="41"/>
    </row>
    <row r="909" spans="2:11" x14ac:dyDescent="0.25">
      <c r="B909" s="41"/>
      <c r="C909" s="41"/>
      <c r="D909" s="41"/>
      <c r="E909" s="41"/>
      <c r="F909" s="41"/>
      <c r="G909" s="41"/>
      <c r="H909" s="41"/>
      <c r="I909" s="41"/>
      <c r="J909" s="41"/>
      <c r="K909" s="41"/>
    </row>
    <row r="910" spans="2:11" x14ac:dyDescent="0.25">
      <c r="B910" s="41"/>
      <c r="C910" s="41"/>
      <c r="D910" s="41"/>
      <c r="E910" s="41"/>
      <c r="F910" s="41"/>
      <c r="G910" s="41"/>
      <c r="H910" s="41"/>
      <c r="I910" s="41"/>
      <c r="J910" s="41"/>
      <c r="K910" s="41"/>
    </row>
    <row r="911" spans="2:11" x14ac:dyDescent="0.25">
      <c r="B911" s="41"/>
      <c r="C911" s="41"/>
      <c r="D911" s="41"/>
      <c r="E911" s="41"/>
      <c r="F911" s="41"/>
      <c r="G911" s="41"/>
      <c r="H911" s="41"/>
      <c r="I911" s="41"/>
      <c r="J911" s="41"/>
      <c r="K911" s="41"/>
    </row>
    <row r="912" spans="2:11" x14ac:dyDescent="0.25">
      <c r="B912" s="41"/>
      <c r="C912" s="41"/>
      <c r="D912" s="41"/>
      <c r="E912" s="41"/>
      <c r="F912" s="41"/>
      <c r="G912" s="41"/>
      <c r="H912" s="41"/>
      <c r="I912" s="41"/>
      <c r="J912" s="41"/>
      <c r="K912" s="41"/>
    </row>
    <row r="913" spans="2:11" x14ac:dyDescent="0.25">
      <c r="B913" s="41"/>
      <c r="C913" s="41"/>
      <c r="D913" s="41"/>
      <c r="E913" s="41"/>
      <c r="F913" s="41"/>
      <c r="G913" s="41"/>
      <c r="H913" s="41"/>
      <c r="I913" s="41"/>
      <c r="J913" s="41"/>
      <c r="K913" s="41"/>
    </row>
    <row r="914" spans="2:11" x14ac:dyDescent="0.25">
      <c r="B914" s="41"/>
      <c r="C914" s="41"/>
      <c r="D914" s="41"/>
      <c r="E914" s="41"/>
      <c r="F914" s="41"/>
      <c r="G914" s="41"/>
      <c r="H914" s="41"/>
      <c r="I914" s="41"/>
      <c r="J914" s="41"/>
      <c r="K914" s="41"/>
    </row>
    <row r="915" spans="2:11" x14ac:dyDescent="0.25">
      <c r="B915" s="41"/>
      <c r="C915" s="41"/>
      <c r="D915" s="41"/>
      <c r="E915" s="41"/>
      <c r="F915" s="41"/>
      <c r="G915" s="41"/>
      <c r="H915" s="41"/>
      <c r="I915" s="41"/>
      <c r="J915" s="41"/>
      <c r="K915" s="41"/>
    </row>
    <row r="916" spans="2:11" x14ac:dyDescent="0.25">
      <c r="B916" s="41"/>
      <c r="C916" s="41"/>
      <c r="D916" s="41"/>
      <c r="E916" s="41"/>
      <c r="F916" s="41"/>
      <c r="G916" s="41"/>
      <c r="H916" s="41"/>
      <c r="I916" s="41"/>
      <c r="J916" s="41"/>
      <c r="K916" s="41"/>
    </row>
    <row r="917" spans="2:11" x14ac:dyDescent="0.25">
      <c r="B917" s="41"/>
      <c r="C917" s="41"/>
      <c r="D917" s="41"/>
      <c r="E917" s="41"/>
      <c r="F917" s="41"/>
      <c r="G917" s="41"/>
      <c r="H917" s="41"/>
      <c r="I917" s="41"/>
      <c r="J917" s="41"/>
      <c r="K917" s="41"/>
    </row>
    <row r="918" spans="2:11" x14ac:dyDescent="0.25">
      <c r="B918" s="41"/>
      <c r="C918" s="41"/>
      <c r="D918" s="41"/>
      <c r="E918" s="41"/>
      <c r="F918" s="41"/>
      <c r="G918" s="41"/>
      <c r="H918" s="41"/>
      <c r="I918" s="41"/>
      <c r="J918" s="41"/>
      <c r="K918" s="41"/>
    </row>
    <row r="919" spans="2:11" x14ac:dyDescent="0.25">
      <c r="B919" s="41"/>
      <c r="C919" s="41"/>
      <c r="D919" s="41"/>
      <c r="E919" s="41"/>
      <c r="F919" s="41"/>
      <c r="G919" s="41"/>
      <c r="H919" s="41"/>
      <c r="I919" s="41"/>
      <c r="J919" s="41"/>
      <c r="K919" s="41"/>
    </row>
    <row r="920" spans="2:11" x14ac:dyDescent="0.25">
      <c r="B920" s="41"/>
      <c r="C920" s="41"/>
      <c r="D920" s="41"/>
      <c r="E920" s="41"/>
      <c r="F920" s="41"/>
      <c r="G920" s="41"/>
      <c r="H920" s="41"/>
      <c r="I920" s="41"/>
      <c r="J920" s="41"/>
      <c r="K920" s="41"/>
    </row>
    <row r="921" spans="2:11" x14ac:dyDescent="0.25">
      <c r="B921" s="41"/>
      <c r="C921" s="41"/>
      <c r="D921" s="41"/>
      <c r="E921" s="41"/>
      <c r="F921" s="41"/>
      <c r="G921" s="41"/>
      <c r="H921" s="41"/>
      <c r="I921" s="41"/>
      <c r="J921" s="41"/>
      <c r="K921" s="41"/>
    </row>
    <row r="922" spans="2:11" x14ac:dyDescent="0.25">
      <c r="B922" s="41"/>
      <c r="C922" s="41"/>
      <c r="D922" s="41"/>
      <c r="E922" s="41"/>
      <c r="F922" s="41"/>
      <c r="G922" s="41"/>
      <c r="H922" s="41"/>
      <c r="I922" s="41"/>
      <c r="J922" s="41"/>
      <c r="K922" s="41"/>
    </row>
    <row r="923" spans="2:11" x14ac:dyDescent="0.25">
      <c r="B923" s="41"/>
      <c r="C923" s="41"/>
      <c r="D923" s="41"/>
      <c r="E923" s="41"/>
      <c r="F923" s="41"/>
      <c r="G923" s="41"/>
      <c r="H923" s="41"/>
      <c r="I923" s="41"/>
      <c r="J923" s="41"/>
      <c r="K923" s="41"/>
    </row>
    <row r="924" spans="2:11" x14ac:dyDescent="0.25">
      <c r="B924" s="41"/>
      <c r="C924" s="41"/>
      <c r="D924" s="41"/>
      <c r="E924" s="41"/>
      <c r="F924" s="41"/>
      <c r="G924" s="41"/>
      <c r="H924" s="41"/>
      <c r="I924" s="41"/>
      <c r="J924" s="41"/>
      <c r="K924" s="41"/>
    </row>
    <row r="925" spans="2:11" x14ac:dyDescent="0.25">
      <c r="B925" s="41"/>
      <c r="C925" s="41"/>
      <c r="D925" s="41"/>
      <c r="E925" s="41"/>
      <c r="F925" s="41"/>
      <c r="G925" s="41"/>
      <c r="H925" s="41"/>
      <c r="I925" s="41"/>
      <c r="J925" s="41"/>
      <c r="K925" s="41"/>
    </row>
    <row r="926" spans="2:11" x14ac:dyDescent="0.25">
      <c r="B926" s="41"/>
      <c r="C926" s="41"/>
      <c r="D926" s="41"/>
      <c r="E926" s="41"/>
      <c r="F926" s="41"/>
      <c r="G926" s="41"/>
      <c r="H926" s="41"/>
      <c r="I926" s="41"/>
      <c r="J926" s="41"/>
      <c r="K926" s="41"/>
    </row>
    <row r="927" spans="2:11" x14ac:dyDescent="0.25">
      <c r="B927" s="41"/>
      <c r="C927" s="41"/>
      <c r="D927" s="41"/>
      <c r="E927" s="41"/>
      <c r="F927" s="41"/>
      <c r="G927" s="41"/>
      <c r="H927" s="41"/>
      <c r="I927" s="41"/>
      <c r="J927" s="41"/>
      <c r="K927" s="41"/>
    </row>
    <row r="928" spans="2:11" x14ac:dyDescent="0.25">
      <c r="B928" s="41"/>
      <c r="C928" s="41"/>
      <c r="D928" s="41"/>
      <c r="E928" s="41"/>
      <c r="F928" s="41"/>
      <c r="G928" s="41"/>
      <c r="H928" s="41"/>
      <c r="I928" s="41"/>
      <c r="J928" s="41"/>
      <c r="K928" s="41"/>
    </row>
    <row r="929" spans="2:11" x14ac:dyDescent="0.25">
      <c r="B929" s="41"/>
      <c r="C929" s="41"/>
      <c r="D929" s="41"/>
      <c r="E929" s="41"/>
      <c r="F929" s="41"/>
      <c r="G929" s="41"/>
      <c r="H929" s="41"/>
      <c r="I929" s="41"/>
      <c r="J929" s="41"/>
      <c r="K929" s="41"/>
    </row>
    <row r="930" spans="2:11" x14ac:dyDescent="0.25">
      <c r="B930" s="41"/>
      <c r="C930" s="41"/>
      <c r="D930" s="41"/>
      <c r="E930" s="41"/>
      <c r="F930" s="41"/>
      <c r="G930" s="41"/>
      <c r="H930" s="41"/>
      <c r="I930" s="41"/>
      <c r="J930" s="41"/>
      <c r="K930" s="41"/>
    </row>
    <row r="931" spans="2:11" x14ac:dyDescent="0.25">
      <c r="B931" s="41"/>
      <c r="C931" s="41"/>
      <c r="D931" s="41"/>
      <c r="E931" s="41"/>
      <c r="F931" s="41"/>
      <c r="G931" s="41"/>
      <c r="H931" s="41"/>
      <c r="I931" s="41"/>
      <c r="J931" s="41"/>
      <c r="K931" s="41"/>
    </row>
    <row r="932" spans="2:11" x14ac:dyDescent="0.25">
      <c r="B932" s="41"/>
      <c r="C932" s="41"/>
      <c r="D932" s="41"/>
      <c r="E932" s="41"/>
      <c r="F932" s="41"/>
      <c r="G932" s="41"/>
      <c r="H932" s="41"/>
      <c r="I932" s="41"/>
      <c r="J932" s="41"/>
      <c r="K932" s="41"/>
    </row>
    <row r="933" spans="2:11" x14ac:dyDescent="0.25">
      <c r="B933" s="41"/>
      <c r="C933" s="41"/>
      <c r="D933" s="41"/>
      <c r="E933" s="41"/>
      <c r="F933" s="41"/>
      <c r="G933" s="41"/>
      <c r="H933" s="41"/>
      <c r="I933" s="41"/>
      <c r="J933" s="41"/>
      <c r="K933" s="41"/>
    </row>
    <row r="934" spans="2:11" x14ac:dyDescent="0.25">
      <c r="B934" s="41"/>
      <c r="C934" s="41"/>
      <c r="D934" s="41"/>
      <c r="E934" s="41"/>
      <c r="F934" s="41"/>
      <c r="G934" s="41"/>
      <c r="H934" s="41"/>
      <c r="I934" s="41"/>
      <c r="J934" s="41"/>
      <c r="K934" s="41"/>
    </row>
    <row r="935" spans="2:11" x14ac:dyDescent="0.25">
      <c r="B935" s="41"/>
      <c r="C935" s="41"/>
      <c r="D935" s="41"/>
      <c r="E935" s="41"/>
      <c r="F935" s="41"/>
      <c r="G935" s="41"/>
      <c r="H935" s="41"/>
      <c r="I935" s="41"/>
      <c r="J935" s="41"/>
      <c r="K935" s="41"/>
    </row>
    <row r="936" spans="2:11" x14ac:dyDescent="0.25">
      <c r="B936" s="41"/>
      <c r="C936" s="41"/>
      <c r="D936" s="41"/>
      <c r="E936" s="41"/>
      <c r="F936" s="41"/>
      <c r="G936" s="41"/>
      <c r="H936" s="41"/>
      <c r="I936" s="41"/>
      <c r="J936" s="41"/>
      <c r="K936" s="41"/>
    </row>
    <row r="937" spans="2:11" x14ac:dyDescent="0.25">
      <c r="B937" s="41"/>
      <c r="C937" s="41"/>
      <c r="D937" s="41"/>
      <c r="E937" s="41"/>
      <c r="F937" s="41"/>
      <c r="G937" s="41"/>
      <c r="H937" s="41"/>
      <c r="I937" s="41"/>
      <c r="J937" s="41"/>
      <c r="K937" s="41"/>
    </row>
    <row r="938" spans="2:11" x14ac:dyDescent="0.25">
      <c r="B938" s="41"/>
      <c r="C938" s="41"/>
      <c r="D938" s="41"/>
      <c r="E938" s="41"/>
      <c r="F938" s="41"/>
      <c r="G938" s="41"/>
      <c r="H938" s="41"/>
      <c r="I938" s="41"/>
      <c r="J938" s="41"/>
      <c r="K938" s="41"/>
    </row>
    <row r="939" spans="2:11" x14ac:dyDescent="0.25">
      <c r="B939" s="41"/>
      <c r="C939" s="41"/>
      <c r="D939" s="41"/>
      <c r="E939" s="41"/>
      <c r="F939" s="41"/>
      <c r="G939" s="41"/>
      <c r="H939" s="41"/>
      <c r="I939" s="41"/>
      <c r="J939" s="41"/>
      <c r="K939" s="41"/>
    </row>
    <row r="940" spans="2:11" x14ac:dyDescent="0.25">
      <c r="B940" s="41"/>
      <c r="C940" s="41"/>
      <c r="D940" s="41"/>
      <c r="E940" s="41"/>
      <c r="F940" s="41"/>
      <c r="G940" s="41"/>
      <c r="H940" s="41"/>
      <c r="I940" s="41"/>
      <c r="J940" s="41"/>
      <c r="K940" s="41"/>
    </row>
    <row r="941" spans="2:11" x14ac:dyDescent="0.25">
      <c r="B941" s="41"/>
      <c r="C941" s="41"/>
      <c r="D941" s="41"/>
      <c r="E941" s="41"/>
      <c r="F941" s="41"/>
      <c r="G941" s="41"/>
      <c r="H941" s="41"/>
      <c r="I941" s="41"/>
      <c r="J941" s="41"/>
      <c r="K941" s="41"/>
    </row>
    <row r="942" spans="2:11" x14ac:dyDescent="0.25">
      <c r="B942" s="41"/>
      <c r="C942" s="41"/>
      <c r="D942" s="41"/>
      <c r="E942" s="41"/>
      <c r="F942" s="41"/>
      <c r="G942" s="41"/>
      <c r="H942" s="41"/>
      <c r="I942" s="41"/>
      <c r="J942" s="41"/>
      <c r="K942" s="41"/>
    </row>
    <row r="943" spans="2:11" x14ac:dyDescent="0.25">
      <c r="B943" s="41"/>
      <c r="C943" s="41"/>
      <c r="D943" s="41"/>
      <c r="E943" s="41"/>
      <c r="F943" s="41"/>
      <c r="G943" s="41"/>
      <c r="H943" s="41"/>
      <c r="I943" s="41"/>
      <c r="J943" s="41"/>
      <c r="K943" s="41"/>
    </row>
    <row r="944" spans="2:11" x14ac:dyDescent="0.25">
      <c r="B944" s="41"/>
      <c r="C944" s="41"/>
      <c r="D944" s="41"/>
      <c r="E944" s="41"/>
      <c r="F944" s="41"/>
      <c r="G944" s="41"/>
      <c r="H944" s="41"/>
      <c r="I944" s="41"/>
      <c r="J944" s="41"/>
      <c r="K944" s="41"/>
    </row>
    <row r="945" spans="2:11" x14ac:dyDescent="0.25">
      <c r="B945" s="41"/>
      <c r="C945" s="41"/>
      <c r="D945" s="41"/>
      <c r="E945" s="41"/>
      <c r="F945" s="41"/>
      <c r="G945" s="41"/>
      <c r="H945" s="41"/>
      <c r="I945" s="41"/>
      <c r="J945" s="41"/>
      <c r="K945" s="41"/>
    </row>
    <row r="946" spans="2:11" x14ac:dyDescent="0.25">
      <c r="B946" s="41"/>
      <c r="C946" s="41"/>
      <c r="D946" s="41"/>
      <c r="E946" s="41"/>
      <c r="F946" s="41"/>
      <c r="G946" s="41"/>
      <c r="H946" s="41"/>
      <c r="I946" s="41"/>
      <c r="J946" s="41"/>
      <c r="K946" s="41"/>
    </row>
    <row r="947" spans="2:11" x14ac:dyDescent="0.25">
      <c r="B947" s="41"/>
      <c r="C947" s="41"/>
      <c r="D947" s="41"/>
      <c r="E947" s="41"/>
      <c r="F947" s="41"/>
      <c r="G947" s="41"/>
      <c r="H947" s="41"/>
      <c r="I947" s="41"/>
      <c r="J947" s="41"/>
      <c r="K947" s="41"/>
    </row>
    <row r="948" spans="2:11" x14ac:dyDescent="0.25">
      <c r="B948" s="41"/>
      <c r="C948" s="41"/>
      <c r="D948" s="41"/>
      <c r="E948" s="41"/>
      <c r="F948" s="41"/>
      <c r="G948" s="41"/>
      <c r="H948" s="41"/>
      <c r="I948" s="41"/>
      <c r="J948" s="41"/>
      <c r="K948" s="41"/>
    </row>
    <row r="949" spans="2:11" x14ac:dyDescent="0.25">
      <c r="B949" s="41"/>
      <c r="C949" s="41"/>
      <c r="D949" s="41"/>
      <c r="E949" s="41"/>
      <c r="F949" s="41"/>
      <c r="G949" s="41"/>
      <c r="H949" s="41"/>
      <c r="I949" s="41"/>
      <c r="J949" s="41"/>
      <c r="K949" s="41"/>
    </row>
    <row r="950" spans="2:11" x14ac:dyDescent="0.25">
      <c r="B950" s="41"/>
      <c r="C950" s="41"/>
      <c r="D950" s="41"/>
      <c r="E950" s="41"/>
      <c r="F950" s="41"/>
      <c r="G950" s="41"/>
      <c r="H950" s="41"/>
      <c r="I950" s="41"/>
      <c r="J950" s="41"/>
      <c r="K950" s="41"/>
    </row>
    <row r="951" spans="2:11" x14ac:dyDescent="0.25">
      <c r="B951" s="41"/>
      <c r="C951" s="41"/>
      <c r="D951" s="41"/>
      <c r="E951" s="41"/>
      <c r="F951" s="41"/>
      <c r="G951" s="41"/>
      <c r="H951" s="41"/>
      <c r="I951" s="41"/>
      <c r="J951" s="41"/>
      <c r="K951" s="41"/>
    </row>
    <row r="952" spans="2:11" x14ac:dyDescent="0.25">
      <c r="B952" s="41"/>
      <c r="C952" s="41"/>
      <c r="D952" s="41"/>
      <c r="E952" s="41"/>
      <c r="F952" s="41"/>
      <c r="G952" s="41"/>
      <c r="H952" s="41"/>
      <c r="I952" s="41"/>
      <c r="J952" s="41"/>
      <c r="K952" s="41"/>
    </row>
    <row r="953" spans="2:11" x14ac:dyDescent="0.25">
      <c r="B953" s="41"/>
      <c r="C953" s="41"/>
      <c r="D953" s="41"/>
      <c r="E953" s="41"/>
      <c r="F953" s="41"/>
      <c r="G953" s="41"/>
      <c r="H953" s="41"/>
      <c r="I953" s="41"/>
      <c r="J953" s="41"/>
      <c r="K953" s="41"/>
    </row>
    <row r="954" spans="2:11" x14ac:dyDescent="0.25">
      <c r="B954" s="41"/>
      <c r="C954" s="41"/>
      <c r="D954" s="41"/>
      <c r="E954" s="41"/>
      <c r="F954" s="41"/>
      <c r="G954" s="41"/>
      <c r="H954" s="41"/>
      <c r="I954" s="41"/>
      <c r="J954" s="41"/>
      <c r="K954" s="41"/>
    </row>
    <row r="955" spans="2:11" x14ac:dyDescent="0.25">
      <c r="B955" s="41"/>
      <c r="C955" s="41"/>
      <c r="D955" s="41"/>
      <c r="E955" s="41"/>
      <c r="F955" s="41"/>
      <c r="G955" s="41"/>
      <c r="H955" s="41"/>
      <c r="I955" s="41"/>
      <c r="J955" s="41"/>
      <c r="K955" s="41"/>
    </row>
    <row r="956" spans="2:11" x14ac:dyDescent="0.25">
      <c r="B956" s="41"/>
      <c r="C956" s="41"/>
      <c r="D956" s="41"/>
      <c r="E956" s="41"/>
      <c r="F956" s="41"/>
      <c r="G956" s="41"/>
      <c r="H956" s="41"/>
      <c r="I956" s="41"/>
      <c r="J956" s="41"/>
      <c r="K956" s="41"/>
    </row>
    <row r="957" spans="2:11" x14ac:dyDescent="0.25">
      <c r="B957" s="41"/>
      <c r="C957" s="41"/>
      <c r="D957" s="41"/>
      <c r="E957" s="41"/>
      <c r="F957" s="41"/>
      <c r="G957" s="41"/>
      <c r="H957" s="41"/>
      <c r="I957" s="41"/>
      <c r="J957" s="41"/>
      <c r="K957" s="41"/>
    </row>
    <row r="958" spans="2:11" x14ac:dyDescent="0.25">
      <c r="B958" s="41"/>
      <c r="C958" s="41"/>
      <c r="D958" s="41"/>
      <c r="E958" s="41"/>
      <c r="F958" s="41"/>
      <c r="G958" s="41"/>
      <c r="H958" s="41"/>
      <c r="I958" s="41"/>
      <c r="J958" s="41"/>
      <c r="K958" s="41"/>
    </row>
    <row r="959" spans="2:11" x14ac:dyDescent="0.25">
      <c r="B959" s="41"/>
      <c r="C959" s="41"/>
      <c r="D959" s="41"/>
      <c r="E959" s="41"/>
      <c r="F959" s="41"/>
      <c r="G959" s="41"/>
      <c r="H959" s="41"/>
      <c r="I959" s="41"/>
      <c r="J959" s="41"/>
      <c r="K959" s="41"/>
    </row>
    <row r="960" spans="2:11" x14ac:dyDescent="0.25">
      <c r="B960" s="41"/>
      <c r="C960" s="41"/>
      <c r="D960" s="41"/>
      <c r="E960" s="41"/>
      <c r="F960" s="41"/>
      <c r="G960" s="41"/>
      <c r="H960" s="41"/>
      <c r="I960" s="41"/>
      <c r="J960" s="41"/>
      <c r="K960" s="41"/>
    </row>
    <row r="961" spans="2:11" x14ac:dyDescent="0.25">
      <c r="B961" s="41"/>
      <c r="C961" s="41"/>
      <c r="D961" s="41"/>
      <c r="E961" s="41"/>
      <c r="F961" s="41"/>
      <c r="G961" s="41"/>
      <c r="H961" s="41"/>
      <c r="I961" s="41"/>
      <c r="J961" s="41"/>
      <c r="K961" s="41"/>
    </row>
    <row r="962" spans="2:11" x14ac:dyDescent="0.25">
      <c r="B962" s="41"/>
      <c r="C962" s="41"/>
      <c r="D962" s="41"/>
      <c r="E962" s="41"/>
      <c r="F962" s="41"/>
      <c r="G962" s="41"/>
      <c r="H962" s="41"/>
      <c r="I962" s="41"/>
      <c r="J962" s="41"/>
      <c r="K962" s="41"/>
    </row>
    <row r="963" spans="2:11" x14ac:dyDescent="0.25">
      <c r="B963" s="41"/>
      <c r="C963" s="41"/>
      <c r="D963" s="41"/>
      <c r="E963" s="41"/>
      <c r="F963" s="41"/>
      <c r="G963" s="41"/>
      <c r="H963" s="41"/>
      <c r="I963" s="41"/>
      <c r="J963" s="41"/>
      <c r="K963" s="41"/>
    </row>
    <row r="964" spans="2:11" x14ac:dyDescent="0.25">
      <c r="B964" s="41"/>
      <c r="C964" s="41"/>
      <c r="D964" s="41"/>
      <c r="E964" s="41"/>
      <c r="F964" s="41"/>
      <c r="G964" s="41"/>
      <c r="H964" s="41"/>
      <c r="I964" s="41"/>
      <c r="J964" s="41"/>
      <c r="K964" s="41"/>
    </row>
    <row r="965" spans="2:11" x14ac:dyDescent="0.25">
      <c r="B965" s="41"/>
      <c r="C965" s="41"/>
      <c r="D965" s="41"/>
      <c r="E965" s="41"/>
      <c r="F965" s="41"/>
      <c r="G965" s="41"/>
      <c r="H965" s="41"/>
      <c r="I965" s="41"/>
      <c r="J965" s="41"/>
      <c r="K965" s="41"/>
    </row>
    <row r="966" spans="2:11" x14ac:dyDescent="0.25">
      <c r="B966" s="41"/>
      <c r="C966" s="41"/>
      <c r="D966" s="41"/>
      <c r="E966" s="41"/>
      <c r="F966" s="41"/>
      <c r="G966" s="41"/>
      <c r="H966" s="41"/>
      <c r="I966" s="41"/>
      <c r="J966" s="41"/>
      <c r="K966" s="41"/>
    </row>
    <row r="967" spans="2:11" x14ac:dyDescent="0.25">
      <c r="B967" s="41"/>
      <c r="C967" s="41"/>
      <c r="D967" s="41"/>
      <c r="E967" s="41"/>
      <c r="F967" s="41"/>
      <c r="G967" s="41"/>
      <c r="H967" s="41"/>
      <c r="I967" s="41"/>
      <c r="J967" s="41"/>
      <c r="K967" s="41"/>
    </row>
    <row r="968" spans="2:11" x14ac:dyDescent="0.25">
      <c r="B968" s="41"/>
      <c r="C968" s="41"/>
      <c r="D968" s="41"/>
      <c r="E968" s="41"/>
      <c r="F968" s="41"/>
      <c r="G968" s="41"/>
      <c r="H968" s="41"/>
      <c r="I968" s="41"/>
      <c r="J968" s="41"/>
      <c r="K968" s="41"/>
    </row>
    <row r="969" spans="2:11" x14ac:dyDescent="0.25">
      <c r="B969" s="41"/>
      <c r="C969" s="41"/>
      <c r="D969" s="41"/>
      <c r="E969" s="41"/>
      <c r="F969" s="41"/>
      <c r="G969" s="41"/>
      <c r="H969" s="41"/>
      <c r="I969" s="41"/>
      <c r="J969" s="41"/>
      <c r="K969" s="41"/>
    </row>
    <row r="970" spans="2:11" x14ac:dyDescent="0.25">
      <c r="B970" s="41"/>
      <c r="C970" s="41"/>
      <c r="D970" s="41"/>
      <c r="E970" s="41"/>
      <c r="F970" s="41"/>
      <c r="G970" s="41"/>
      <c r="H970" s="41"/>
      <c r="I970" s="41"/>
      <c r="J970" s="41"/>
      <c r="K970" s="41"/>
    </row>
    <row r="971" spans="2:11" x14ac:dyDescent="0.25">
      <c r="B971" s="41"/>
      <c r="C971" s="41"/>
      <c r="D971" s="41"/>
      <c r="E971" s="41"/>
      <c r="F971" s="41"/>
      <c r="G971" s="41"/>
      <c r="H971" s="41"/>
      <c r="I971" s="41"/>
      <c r="J971" s="41"/>
      <c r="K971" s="41"/>
    </row>
    <row r="972" spans="2:11" x14ac:dyDescent="0.25">
      <c r="B972" s="41"/>
      <c r="C972" s="41"/>
      <c r="D972" s="41"/>
      <c r="E972" s="41"/>
      <c r="F972" s="41"/>
      <c r="G972" s="41"/>
      <c r="H972" s="41"/>
      <c r="I972" s="41"/>
      <c r="J972" s="41"/>
      <c r="K972" s="41"/>
    </row>
    <row r="973" spans="2:11" x14ac:dyDescent="0.25">
      <c r="B973" s="41"/>
      <c r="C973" s="41"/>
      <c r="D973" s="41"/>
      <c r="E973" s="41"/>
      <c r="F973" s="41"/>
      <c r="G973" s="41"/>
      <c r="H973" s="41"/>
      <c r="I973" s="41"/>
      <c r="J973" s="41"/>
      <c r="K973" s="41"/>
    </row>
    <row r="974" spans="2:11" x14ac:dyDescent="0.25">
      <c r="B974" s="41"/>
      <c r="C974" s="41"/>
      <c r="D974" s="41"/>
      <c r="E974" s="41"/>
      <c r="F974" s="41"/>
      <c r="G974" s="41"/>
      <c r="H974" s="41"/>
      <c r="I974" s="41"/>
      <c r="J974" s="41"/>
      <c r="K974" s="41"/>
    </row>
    <row r="975" spans="2:11" x14ac:dyDescent="0.25">
      <c r="B975" s="41"/>
      <c r="C975" s="41"/>
      <c r="D975" s="41"/>
      <c r="E975" s="41"/>
      <c r="F975" s="41"/>
      <c r="G975" s="41"/>
      <c r="H975" s="41"/>
      <c r="I975" s="41"/>
      <c r="J975" s="41"/>
      <c r="K975" s="41"/>
    </row>
    <row r="976" spans="2:11" x14ac:dyDescent="0.25">
      <c r="B976" s="41"/>
      <c r="C976" s="41"/>
      <c r="D976" s="41"/>
      <c r="E976" s="41"/>
      <c r="F976" s="41"/>
      <c r="G976" s="41"/>
      <c r="H976" s="41"/>
      <c r="I976" s="41"/>
      <c r="J976" s="41"/>
      <c r="K976" s="41"/>
    </row>
    <row r="977" spans="2:11" x14ac:dyDescent="0.25">
      <c r="B977" s="41"/>
      <c r="C977" s="41"/>
      <c r="D977" s="41"/>
      <c r="E977" s="41"/>
      <c r="F977" s="41"/>
      <c r="G977" s="41"/>
      <c r="H977" s="41"/>
      <c r="I977" s="41"/>
      <c r="J977" s="41"/>
      <c r="K977" s="41"/>
    </row>
    <row r="978" spans="2:11" x14ac:dyDescent="0.25">
      <c r="B978" s="41"/>
      <c r="C978" s="41"/>
      <c r="D978" s="41"/>
      <c r="E978" s="41"/>
      <c r="F978" s="41"/>
      <c r="G978" s="41"/>
      <c r="H978" s="41"/>
      <c r="I978" s="41"/>
      <c r="J978" s="41"/>
      <c r="K978" s="41"/>
    </row>
    <row r="979" spans="2:11" x14ac:dyDescent="0.25">
      <c r="B979" s="41"/>
      <c r="C979" s="41"/>
      <c r="D979" s="41"/>
      <c r="E979" s="41"/>
      <c r="F979" s="41"/>
      <c r="G979" s="41"/>
      <c r="H979" s="41"/>
      <c r="I979" s="41"/>
      <c r="J979" s="41"/>
      <c r="K979" s="41"/>
    </row>
    <row r="980" spans="2:11" x14ac:dyDescent="0.25">
      <c r="B980" s="41"/>
      <c r="C980" s="41"/>
      <c r="D980" s="41"/>
      <c r="E980" s="41"/>
      <c r="F980" s="41"/>
      <c r="G980" s="41"/>
      <c r="H980" s="41"/>
      <c r="I980" s="41"/>
      <c r="J980" s="41"/>
      <c r="K980" s="41"/>
    </row>
    <row r="981" spans="2:11" x14ac:dyDescent="0.25">
      <c r="B981" s="41"/>
      <c r="C981" s="41"/>
      <c r="D981" s="41"/>
      <c r="E981" s="41"/>
      <c r="F981" s="41"/>
      <c r="G981" s="41"/>
      <c r="H981" s="41"/>
      <c r="I981" s="41"/>
      <c r="J981" s="41"/>
      <c r="K981" s="41"/>
    </row>
    <row r="982" spans="2:11" x14ac:dyDescent="0.25">
      <c r="B982" s="41"/>
      <c r="C982" s="41"/>
      <c r="D982" s="41"/>
      <c r="E982" s="41"/>
      <c r="F982" s="41"/>
      <c r="G982" s="41"/>
      <c r="H982" s="41"/>
      <c r="I982" s="41"/>
      <c r="J982" s="41"/>
      <c r="K982" s="41"/>
    </row>
    <row r="983" spans="2:11" x14ac:dyDescent="0.25">
      <c r="B983" s="41"/>
      <c r="C983" s="41"/>
      <c r="D983" s="41"/>
      <c r="E983" s="41"/>
      <c r="F983" s="41"/>
      <c r="G983" s="41"/>
      <c r="H983" s="41"/>
      <c r="I983" s="41"/>
      <c r="J983" s="41"/>
      <c r="K983" s="41"/>
    </row>
    <row r="984" spans="2:11" x14ac:dyDescent="0.25">
      <c r="B984" s="41"/>
      <c r="C984" s="41"/>
      <c r="D984" s="41"/>
      <c r="E984" s="41"/>
      <c r="F984" s="41"/>
      <c r="G984" s="41"/>
      <c r="H984" s="41"/>
      <c r="I984" s="41"/>
      <c r="J984" s="41"/>
      <c r="K984" s="41"/>
    </row>
    <row r="985" spans="2:11" x14ac:dyDescent="0.25">
      <c r="B985" s="41"/>
      <c r="C985" s="41"/>
      <c r="D985" s="41"/>
      <c r="E985" s="41"/>
      <c r="F985" s="41"/>
      <c r="G985" s="41"/>
      <c r="H985" s="41"/>
      <c r="I985" s="41"/>
      <c r="J985" s="41"/>
      <c r="K985" s="41"/>
    </row>
    <row r="986" spans="2:11" x14ac:dyDescent="0.25">
      <c r="B986" s="41"/>
      <c r="C986" s="41"/>
      <c r="D986" s="41"/>
      <c r="E986" s="41"/>
      <c r="F986" s="41"/>
      <c r="G986" s="41"/>
      <c r="H986" s="41"/>
      <c r="I986" s="41"/>
      <c r="J986" s="41"/>
      <c r="K986" s="41"/>
    </row>
    <row r="987" spans="2:11" x14ac:dyDescent="0.25">
      <c r="B987" s="41"/>
      <c r="C987" s="41"/>
      <c r="D987" s="41"/>
      <c r="E987" s="41"/>
      <c r="F987" s="41"/>
      <c r="G987" s="41"/>
      <c r="H987" s="41"/>
      <c r="I987" s="41"/>
      <c r="J987" s="41"/>
      <c r="K987" s="41"/>
    </row>
    <row r="988" spans="2:11" x14ac:dyDescent="0.25">
      <c r="B988" s="41"/>
      <c r="C988" s="41"/>
      <c r="D988" s="41"/>
      <c r="E988" s="41"/>
      <c r="F988" s="41"/>
      <c r="G988" s="41"/>
      <c r="H988" s="41"/>
      <c r="I988" s="41"/>
      <c r="J988" s="41"/>
      <c r="K988" s="41"/>
    </row>
    <row r="989" spans="2:11" x14ac:dyDescent="0.25">
      <c r="B989" s="41"/>
      <c r="C989" s="41"/>
      <c r="D989" s="41"/>
      <c r="E989" s="41"/>
      <c r="F989" s="41"/>
      <c r="G989" s="41"/>
      <c r="H989" s="41"/>
      <c r="I989" s="41"/>
      <c r="J989" s="41"/>
      <c r="K989" s="41"/>
    </row>
    <row r="990" spans="2:11" x14ac:dyDescent="0.25">
      <c r="B990" s="41"/>
      <c r="C990" s="41"/>
      <c r="D990" s="41"/>
      <c r="E990" s="41"/>
      <c r="F990" s="41"/>
      <c r="G990" s="41"/>
      <c r="H990" s="41"/>
      <c r="I990" s="41"/>
      <c r="J990" s="41"/>
      <c r="K990" s="41"/>
    </row>
    <row r="991" spans="2:11" x14ac:dyDescent="0.25">
      <c r="B991" s="41"/>
      <c r="C991" s="41"/>
      <c r="D991" s="41"/>
      <c r="E991" s="41"/>
      <c r="F991" s="41"/>
      <c r="G991" s="41"/>
      <c r="H991" s="41"/>
      <c r="I991" s="41"/>
      <c r="J991" s="41"/>
      <c r="K991" s="41"/>
    </row>
    <row r="992" spans="2:11" x14ac:dyDescent="0.25">
      <c r="B992" s="41"/>
      <c r="C992" s="41"/>
      <c r="D992" s="41"/>
      <c r="E992" s="41"/>
      <c r="F992" s="41"/>
      <c r="G992" s="41"/>
      <c r="H992" s="41"/>
      <c r="I992" s="41"/>
      <c r="J992" s="41"/>
      <c r="K992" s="41"/>
    </row>
    <row r="993" spans="2:11" x14ac:dyDescent="0.25">
      <c r="B993" s="41"/>
      <c r="C993" s="41"/>
      <c r="D993" s="41"/>
      <c r="E993" s="41"/>
      <c r="F993" s="41"/>
      <c r="G993" s="41"/>
      <c r="H993" s="41"/>
      <c r="I993" s="41"/>
      <c r="J993" s="41"/>
      <c r="K993" s="41"/>
    </row>
    <row r="994" spans="2:11" x14ac:dyDescent="0.25">
      <c r="B994" s="41"/>
      <c r="C994" s="41"/>
      <c r="D994" s="41"/>
      <c r="E994" s="41"/>
      <c r="F994" s="41"/>
      <c r="G994" s="41"/>
      <c r="H994" s="41"/>
      <c r="I994" s="41"/>
      <c r="J994" s="41"/>
      <c r="K994" s="41"/>
    </row>
    <row r="995" spans="2:11" x14ac:dyDescent="0.25">
      <c r="B995" s="41"/>
      <c r="C995" s="41"/>
      <c r="D995" s="41"/>
      <c r="E995" s="41"/>
      <c r="F995" s="41"/>
      <c r="G995" s="41"/>
      <c r="H995" s="41"/>
      <c r="I995" s="41"/>
      <c r="J995" s="41"/>
      <c r="K995" s="41"/>
    </row>
    <row r="996" spans="2:11" x14ac:dyDescent="0.25">
      <c r="B996" s="41"/>
      <c r="C996" s="41"/>
      <c r="D996" s="41"/>
      <c r="E996" s="41"/>
      <c r="F996" s="41"/>
      <c r="G996" s="41"/>
      <c r="H996" s="41"/>
      <c r="I996" s="41"/>
      <c r="J996" s="41"/>
      <c r="K996" s="41"/>
    </row>
    <row r="997" spans="2:11" x14ac:dyDescent="0.25">
      <c r="B997" s="41"/>
      <c r="C997" s="41"/>
      <c r="D997" s="41"/>
      <c r="E997" s="41"/>
      <c r="F997" s="41"/>
      <c r="G997" s="41"/>
      <c r="H997" s="41"/>
      <c r="I997" s="41"/>
      <c r="J997" s="41"/>
      <c r="K997" s="41"/>
    </row>
    <row r="998" spans="2:11" x14ac:dyDescent="0.25">
      <c r="B998" s="41"/>
      <c r="C998" s="41"/>
      <c r="D998" s="41"/>
      <c r="E998" s="41"/>
      <c r="F998" s="41"/>
      <c r="G998" s="41"/>
      <c r="H998" s="41"/>
      <c r="I998" s="41"/>
      <c r="J998" s="41"/>
      <c r="K998" s="41"/>
    </row>
    <row r="999" spans="2:11" x14ac:dyDescent="0.25">
      <c r="B999" s="41"/>
      <c r="C999" s="41"/>
      <c r="D999" s="41"/>
      <c r="E999" s="41"/>
      <c r="F999" s="41"/>
      <c r="G999" s="41"/>
      <c r="H999" s="41"/>
      <c r="I999" s="41"/>
      <c r="J999" s="41"/>
      <c r="K999" s="41"/>
    </row>
    <row r="1000" spans="2:11" x14ac:dyDescent="0.25"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</row>
    <row r="1001" spans="2:11" x14ac:dyDescent="0.25"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</row>
    <row r="1002" spans="2:11" x14ac:dyDescent="0.25"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</row>
    <row r="1003" spans="2:11" x14ac:dyDescent="0.25"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</row>
    <row r="1004" spans="2:11" x14ac:dyDescent="0.25"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</row>
    <row r="1005" spans="2:11" x14ac:dyDescent="0.25"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</row>
    <row r="1006" spans="2:11" x14ac:dyDescent="0.25"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</row>
    <row r="1007" spans="2:11" x14ac:dyDescent="0.25"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</row>
    <row r="1008" spans="2:11" x14ac:dyDescent="0.25"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</row>
    <row r="1009" spans="2:11" x14ac:dyDescent="0.25"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</row>
    <row r="1010" spans="2:11" x14ac:dyDescent="0.25"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</row>
    <row r="1011" spans="2:11" x14ac:dyDescent="0.25"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</row>
    <row r="1012" spans="2:11" x14ac:dyDescent="0.25"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</row>
    <row r="1013" spans="2:11" x14ac:dyDescent="0.25"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</row>
    <row r="1014" spans="2:11" x14ac:dyDescent="0.25"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</row>
    <row r="1015" spans="2:11" x14ac:dyDescent="0.25"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</row>
    <row r="1016" spans="2:11" x14ac:dyDescent="0.25"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</row>
    <row r="1017" spans="2:11" x14ac:dyDescent="0.25"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</row>
    <row r="1018" spans="2:11" x14ac:dyDescent="0.25"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</row>
    <row r="1019" spans="2:11" x14ac:dyDescent="0.25"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</row>
    <row r="1020" spans="2:11" x14ac:dyDescent="0.25"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</row>
    <row r="1021" spans="2:11" x14ac:dyDescent="0.25"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</row>
    <row r="1022" spans="2:11" x14ac:dyDescent="0.25"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</row>
    <row r="1023" spans="2:11" x14ac:dyDescent="0.25"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</row>
    <row r="1024" spans="2:11" x14ac:dyDescent="0.25"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</row>
    <row r="1025" spans="2:11" x14ac:dyDescent="0.25"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</row>
    <row r="1026" spans="2:11" x14ac:dyDescent="0.25"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</row>
    <row r="1027" spans="2:11" x14ac:dyDescent="0.25"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</row>
    <row r="1028" spans="2:11" x14ac:dyDescent="0.25"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</row>
    <row r="1029" spans="2:11" x14ac:dyDescent="0.25"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</row>
    <row r="1030" spans="2:11" x14ac:dyDescent="0.25"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</row>
    <row r="1031" spans="2:11" x14ac:dyDescent="0.25"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</row>
    <row r="1032" spans="2:11" x14ac:dyDescent="0.25"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</row>
    <row r="1033" spans="2:11" x14ac:dyDescent="0.25"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</row>
    <row r="1034" spans="2:11" x14ac:dyDescent="0.25"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</row>
    <row r="1035" spans="2:11" x14ac:dyDescent="0.25"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</row>
    <row r="1036" spans="2:11" x14ac:dyDescent="0.25"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</row>
    <row r="1037" spans="2:11" x14ac:dyDescent="0.25"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</row>
    <row r="1038" spans="2:11" x14ac:dyDescent="0.25"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</row>
    <row r="1039" spans="2:11" x14ac:dyDescent="0.25"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</row>
    <row r="1040" spans="2:11" x14ac:dyDescent="0.25"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</row>
    <row r="1041" spans="2:11" x14ac:dyDescent="0.25"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</row>
    <row r="1042" spans="2:11" x14ac:dyDescent="0.25"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</row>
    <row r="1043" spans="2:11" x14ac:dyDescent="0.25"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</row>
    <row r="1044" spans="2:11" x14ac:dyDescent="0.25"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</row>
    <row r="1045" spans="2:11" x14ac:dyDescent="0.25"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</row>
    <row r="1046" spans="2:11" x14ac:dyDescent="0.25"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</row>
    <row r="1047" spans="2:11" x14ac:dyDescent="0.25"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</row>
    <row r="1048" spans="2:11" x14ac:dyDescent="0.25"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</row>
    <row r="1049" spans="2:11" x14ac:dyDescent="0.25"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</row>
    <row r="1050" spans="2:11" x14ac:dyDescent="0.25"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</row>
    <row r="1051" spans="2:11" x14ac:dyDescent="0.25"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</row>
    <row r="1052" spans="2:11" x14ac:dyDescent="0.25"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</row>
    <row r="1053" spans="2:11" x14ac:dyDescent="0.25"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</row>
    <row r="1054" spans="2:11" x14ac:dyDescent="0.25"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</row>
    <row r="1055" spans="2:11" x14ac:dyDescent="0.25"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</row>
    <row r="1056" spans="2:11" x14ac:dyDescent="0.25"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</row>
    <row r="1057" spans="2:11" x14ac:dyDescent="0.25"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</row>
    <row r="1058" spans="2:11" x14ac:dyDescent="0.25"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</row>
    <row r="1059" spans="2:11" x14ac:dyDescent="0.25"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</row>
    <row r="1060" spans="2:11" x14ac:dyDescent="0.25"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</row>
    <row r="1061" spans="2:11" x14ac:dyDescent="0.25"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</row>
    <row r="1062" spans="2:11" x14ac:dyDescent="0.25"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</row>
    <row r="1063" spans="2:11" x14ac:dyDescent="0.25"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</row>
    <row r="1064" spans="2:11" x14ac:dyDescent="0.25"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</row>
    <row r="1065" spans="2:11" x14ac:dyDescent="0.25"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</row>
    <row r="1066" spans="2:11" x14ac:dyDescent="0.25"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</row>
    <row r="1067" spans="2:11" x14ac:dyDescent="0.25">
      <c r="B1067" s="41"/>
      <c r="C1067" s="41"/>
      <c r="D1067" s="41"/>
      <c r="E1067" s="41"/>
      <c r="F1067" s="41"/>
      <c r="G1067" s="41"/>
      <c r="H1067" s="41"/>
      <c r="I1067" s="41"/>
      <c r="J1067" s="41"/>
      <c r="K1067" s="41"/>
    </row>
    <row r="1068" spans="2:11" x14ac:dyDescent="0.25">
      <c r="B1068" s="41"/>
      <c r="C1068" s="41"/>
      <c r="D1068" s="41"/>
      <c r="E1068" s="41"/>
      <c r="F1068" s="41"/>
      <c r="G1068" s="41"/>
      <c r="H1068" s="41"/>
      <c r="I1068" s="41"/>
      <c r="J1068" s="41"/>
      <c r="K1068" s="41"/>
    </row>
    <row r="1069" spans="2:11" x14ac:dyDescent="0.25">
      <c r="B1069" s="41"/>
      <c r="C1069" s="41"/>
      <c r="D1069" s="41"/>
      <c r="E1069" s="41"/>
      <c r="F1069" s="41"/>
      <c r="G1069" s="41"/>
      <c r="H1069" s="41"/>
      <c r="I1069" s="41"/>
      <c r="J1069" s="41"/>
      <c r="K1069" s="41"/>
    </row>
    <row r="1070" spans="2:11" x14ac:dyDescent="0.25">
      <c r="B1070" s="41"/>
      <c r="C1070" s="41"/>
      <c r="D1070" s="41"/>
      <c r="E1070" s="41"/>
      <c r="F1070" s="41"/>
      <c r="G1070" s="41"/>
      <c r="H1070" s="41"/>
      <c r="I1070" s="41"/>
      <c r="J1070" s="41"/>
      <c r="K1070" s="41"/>
    </row>
    <row r="1071" spans="2:11" x14ac:dyDescent="0.25">
      <c r="B1071" s="41"/>
      <c r="C1071" s="41"/>
      <c r="D1071" s="41"/>
      <c r="E1071" s="41"/>
      <c r="F1071" s="41"/>
      <c r="G1071" s="41"/>
      <c r="H1071" s="41"/>
      <c r="I1071" s="41"/>
      <c r="J1071" s="41"/>
      <c r="K1071" s="41"/>
    </row>
    <row r="1072" spans="2:11" x14ac:dyDescent="0.25">
      <c r="B1072" s="41"/>
      <c r="C1072" s="41"/>
      <c r="D1072" s="41"/>
      <c r="E1072" s="41"/>
      <c r="F1072" s="41"/>
      <c r="G1072" s="41"/>
      <c r="H1072" s="41"/>
      <c r="I1072" s="41"/>
      <c r="J1072" s="41"/>
      <c r="K1072" s="41"/>
    </row>
    <row r="1073" spans="2:11" x14ac:dyDescent="0.25">
      <c r="B1073" s="41"/>
      <c r="C1073" s="41"/>
      <c r="D1073" s="41"/>
      <c r="E1073" s="41"/>
      <c r="F1073" s="41"/>
      <c r="G1073" s="41"/>
      <c r="H1073" s="41"/>
      <c r="I1073" s="41"/>
      <c r="J1073" s="41"/>
      <c r="K1073" s="41"/>
    </row>
    <row r="1074" spans="2:11" x14ac:dyDescent="0.25">
      <c r="B1074" s="41"/>
      <c r="C1074" s="41"/>
      <c r="D1074" s="41"/>
      <c r="E1074" s="41"/>
      <c r="F1074" s="41"/>
      <c r="G1074" s="41"/>
      <c r="H1074" s="41"/>
      <c r="I1074" s="41"/>
      <c r="J1074" s="41"/>
      <c r="K1074" s="41"/>
    </row>
    <row r="1075" spans="2:11" x14ac:dyDescent="0.25">
      <c r="B1075" s="41"/>
      <c r="C1075" s="41"/>
      <c r="D1075" s="41"/>
      <c r="E1075" s="41"/>
      <c r="F1075" s="41"/>
      <c r="G1075" s="41"/>
      <c r="H1075" s="41"/>
      <c r="I1075" s="41"/>
      <c r="J1075" s="41"/>
      <c r="K1075" s="41"/>
    </row>
    <row r="1076" spans="2:11" x14ac:dyDescent="0.25">
      <c r="B1076" s="41"/>
      <c r="C1076" s="41"/>
      <c r="D1076" s="41"/>
      <c r="E1076" s="41"/>
      <c r="F1076" s="41"/>
      <c r="G1076" s="41"/>
      <c r="H1076" s="41"/>
      <c r="I1076" s="41"/>
      <c r="J1076" s="41"/>
      <c r="K1076" s="41"/>
    </row>
    <row r="1077" spans="2:11" x14ac:dyDescent="0.25">
      <c r="B1077" s="41"/>
      <c r="C1077" s="41"/>
      <c r="D1077" s="41"/>
      <c r="E1077" s="41"/>
      <c r="F1077" s="41"/>
      <c r="G1077" s="41"/>
      <c r="H1077" s="41"/>
      <c r="I1077" s="41"/>
      <c r="J1077" s="41"/>
      <c r="K1077" s="41"/>
    </row>
    <row r="1078" spans="2:11" x14ac:dyDescent="0.25">
      <c r="B1078" s="41"/>
      <c r="C1078" s="41"/>
      <c r="D1078" s="41"/>
      <c r="E1078" s="41"/>
      <c r="F1078" s="41"/>
      <c r="G1078" s="41"/>
      <c r="H1078" s="41"/>
      <c r="I1078" s="41"/>
      <c r="J1078" s="41"/>
      <c r="K1078" s="41"/>
    </row>
    <row r="1079" spans="2:11" x14ac:dyDescent="0.25">
      <c r="B1079" s="41"/>
      <c r="C1079" s="41"/>
      <c r="D1079" s="41"/>
      <c r="E1079" s="41"/>
      <c r="F1079" s="41"/>
      <c r="G1079" s="41"/>
      <c r="H1079" s="41"/>
      <c r="I1079" s="41"/>
      <c r="J1079" s="41"/>
      <c r="K1079" s="41"/>
    </row>
    <row r="1080" spans="2:11" x14ac:dyDescent="0.25">
      <c r="B1080" s="41"/>
      <c r="C1080" s="41"/>
      <c r="D1080" s="41"/>
      <c r="E1080" s="41"/>
      <c r="F1080" s="41"/>
      <c r="G1080" s="41"/>
      <c r="H1080" s="41"/>
      <c r="I1080" s="41"/>
      <c r="J1080" s="41"/>
      <c r="K1080" s="41"/>
    </row>
    <row r="1081" spans="2:11" x14ac:dyDescent="0.25">
      <c r="B1081" s="41"/>
      <c r="C1081" s="41"/>
      <c r="D1081" s="41"/>
      <c r="E1081" s="41"/>
      <c r="F1081" s="41"/>
      <c r="G1081" s="41"/>
      <c r="H1081" s="41"/>
      <c r="I1081" s="41"/>
      <c r="J1081" s="41"/>
      <c r="K1081" s="41"/>
    </row>
    <row r="1082" spans="2:11" x14ac:dyDescent="0.25">
      <c r="B1082" s="41"/>
      <c r="C1082" s="41"/>
      <c r="D1082" s="41"/>
      <c r="E1082" s="41"/>
      <c r="F1082" s="41"/>
      <c r="G1082" s="41"/>
      <c r="H1082" s="41"/>
      <c r="I1082" s="41"/>
      <c r="J1082" s="41"/>
      <c r="K1082" s="41"/>
    </row>
    <row r="1083" spans="2:11" x14ac:dyDescent="0.25">
      <c r="B1083" s="41"/>
      <c r="C1083" s="41"/>
      <c r="D1083" s="41"/>
      <c r="E1083" s="41"/>
      <c r="F1083" s="41"/>
      <c r="G1083" s="41"/>
      <c r="H1083" s="41"/>
      <c r="I1083" s="41"/>
      <c r="J1083" s="41"/>
      <c r="K1083" s="41"/>
    </row>
    <row r="1084" spans="2:11" x14ac:dyDescent="0.25">
      <c r="B1084" s="41"/>
      <c r="C1084" s="41"/>
      <c r="D1084" s="41"/>
      <c r="E1084" s="41"/>
      <c r="F1084" s="41"/>
      <c r="G1084" s="41"/>
      <c r="H1084" s="41"/>
      <c r="I1084" s="41"/>
      <c r="J1084" s="41"/>
      <c r="K1084" s="41"/>
    </row>
    <row r="1085" spans="2:11" x14ac:dyDescent="0.25">
      <c r="B1085" s="41"/>
      <c r="C1085" s="41"/>
      <c r="D1085" s="41"/>
      <c r="E1085" s="41"/>
      <c r="F1085" s="41"/>
      <c r="G1085" s="41"/>
      <c r="H1085" s="41"/>
      <c r="I1085" s="41"/>
      <c r="J1085" s="41"/>
      <c r="K1085" s="41"/>
    </row>
    <row r="1086" spans="2:11" x14ac:dyDescent="0.25">
      <c r="B1086" s="41"/>
      <c r="C1086" s="41"/>
      <c r="D1086" s="41"/>
      <c r="E1086" s="41"/>
      <c r="F1086" s="41"/>
      <c r="G1086" s="41"/>
      <c r="H1086" s="41"/>
      <c r="I1086" s="41"/>
      <c r="J1086" s="41"/>
      <c r="K1086" s="41"/>
    </row>
    <row r="1087" spans="2:11" x14ac:dyDescent="0.25">
      <c r="B1087" s="41"/>
      <c r="C1087" s="41"/>
      <c r="D1087" s="41"/>
      <c r="E1087" s="41"/>
      <c r="F1087" s="41"/>
      <c r="G1087" s="41"/>
      <c r="H1087" s="41"/>
      <c r="I1087" s="41"/>
      <c r="J1087" s="41"/>
      <c r="K1087" s="41"/>
    </row>
    <row r="1088" spans="2:11" x14ac:dyDescent="0.25">
      <c r="B1088" s="41"/>
      <c r="C1088" s="41"/>
      <c r="D1088" s="41"/>
      <c r="E1088" s="41"/>
      <c r="F1088" s="41"/>
      <c r="G1088" s="41"/>
      <c r="H1088" s="41"/>
      <c r="I1088" s="41"/>
      <c r="J1088" s="41"/>
      <c r="K1088" s="41"/>
    </row>
    <row r="1089" spans="2:11" x14ac:dyDescent="0.25">
      <c r="B1089" s="41"/>
      <c r="C1089" s="41"/>
      <c r="D1089" s="41"/>
      <c r="E1089" s="41"/>
      <c r="F1089" s="41"/>
      <c r="G1089" s="41"/>
      <c r="H1089" s="41"/>
      <c r="I1089" s="41"/>
      <c r="J1089" s="41"/>
      <c r="K1089" s="41"/>
    </row>
    <row r="1090" spans="2:11" x14ac:dyDescent="0.25">
      <c r="B1090" s="41"/>
      <c r="C1090" s="41"/>
      <c r="D1090" s="41"/>
      <c r="E1090" s="41"/>
      <c r="F1090" s="41"/>
      <c r="G1090" s="41"/>
      <c r="H1090" s="41"/>
      <c r="I1090" s="41"/>
      <c r="J1090" s="41"/>
      <c r="K1090" s="41"/>
    </row>
    <row r="1091" spans="2:11" x14ac:dyDescent="0.25">
      <c r="B1091" s="41"/>
      <c r="C1091" s="41"/>
      <c r="D1091" s="41"/>
      <c r="E1091" s="41"/>
      <c r="F1091" s="41"/>
      <c r="G1091" s="41"/>
      <c r="H1091" s="41"/>
      <c r="I1091" s="41"/>
      <c r="J1091" s="41"/>
      <c r="K1091" s="41"/>
    </row>
    <row r="1092" spans="2:11" x14ac:dyDescent="0.25">
      <c r="B1092" s="41"/>
      <c r="C1092" s="41"/>
      <c r="D1092" s="41"/>
      <c r="E1092" s="41"/>
      <c r="F1092" s="41"/>
      <c r="G1092" s="41"/>
      <c r="H1092" s="41"/>
      <c r="I1092" s="41"/>
      <c r="J1092" s="41"/>
      <c r="K1092" s="41"/>
    </row>
    <row r="1093" spans="2:11" x14ac:dyDescent="0.25">
      <c r="B1093" s="41"/>
      <c r="C1093" s="41"/>
      <c r="D1093" s="41"/>
      <c r="E1093" s="41"/>
      <c r="F1093" s="41"/>
      <c r="G1093" s="41"/>
      <c r="H1093" s="41"/>
      <c r="I1093" s="41"/>
      <c r="J1093" s="41"/>
      <c r="K1093" s="41"/>
    </row>
    <row r="1094" spans="2:11" x14ac:dyDescent="0.25">
      <c r="B1094" s="41"/>
      <c r="C1094" s="41"/>
      <c r="D1094" s="41"/>
      <c r="E1094" s="41"/>
      <c r="F1094" s="41"/>
      <c r="G1094" s="41"/>
      <c r="H1094" s="41"/>
      <c r="I1094" s="41"/>
      <c r="J1094" s="41"/>
      <c r="K1094" s="41"/>
    </row>
    <row r="1095" spans="2:11" x14ac:dyDescent="0.25">
      <c r="B1095" s="41"/>
      <c r="C1095" s="41"/>
      <c r="D1095" s="41"/>
      <c r="E1095" s="41"/>
      <c r="F1095" s="41"/>
      <c r="G1095" s="41"/>
      <c r="H1095" s="41"/>
      <c r="I1095" s="41"/>
      <c r="J1095" s="41"/>
      <c r="K1095" s="41"/>
    </row>
    <row r="1096" spans="2:11" x14ac:dyDescent="0.25">
      <c r="B1096" s="41"/>
      <c r="C1096" s="41"/>
      <c r="D1096" s="41"/>
      <c r="E1096" s="41"/>
      <c r="F1096" s="41"/>
      <c r="G1096" s="41"/>
      <c r="H1096" s="41"/>
      <c r="I1096" s="41"/>
      <c r="J1096" s="41"/>
      <c r="K1096" s="41"/>
    </row>
    <row r="1097" spans="2:11" x14ac:dyDescent="0.25">
      <c r="B1097" s="41"/>
      <c r="C1097" s="41"/>
      <c r="D1097" s="41"/>
      <c r="E1097" s="41"/>
      <c r="F1097" s="41"/>
      <c r="G1097" s="41"/>
      <c r="H1097" s="41"/>
      <c r="I1097" s="41"/>
      <c r="J1097" s="41"/>
      <c r="K1097" s="41"/>
    </row>
    <row r="1098" spans="2:11" x14ac:dyDescent="0.25">
      <c r="B1098" s="41"/>
      <c r="C1098" s="41"/>
      <c r="D1098" s="41"/>
      <c r="E1098" s="41"/>
      <c r="F1098" s="41"/>
      <c r="G1098" s="41"/>
      <c r="H1098" s="41"/>
      <c r="I1098" s="41"/>
      <c r="J1098" s="41"/>
      <c r="K1098" s="41"/>
    </row>
    <row r="1099" spans="2:11" x14ac:dyDescent="0.25">
      <c r="B1099" s="41"/>
      <c r="C1099" s="41"/>
      <c r="D1099" s="41"/>
      <c r="E1099" s="41"/>
      <c r="F1099" s="41"/>
      <c r="G1099" s="41"/>
      <c r="H1099" s="41"/>
      <c r="I1099" s="41"/>
      <c r="J1099" s="41"/>
      <c r="K1099" s="41"/>
    </row>
    <row r="1100" spans="2:11" x14ac:dyDescent="0.25">
      <c r="B1100" s="41"/>
      <c r="C1100" s="41"/>
      <c r="D1100" s="41"/>
      <c r="E1100" s="41"/>
      <c r="F1100" s="41"/>
      <c r="G1100" s="41"/>
      <c r="H1100" s="41"/>
      <c r="I1100" s="41"/>
      <c r="J1100" s="41"/>
      <c r="K1100" s="41"/>
    </row>
    <row r="1101" spans="2:11" x14ac:dyDescent="0.25">
      <c r="B1101" s="41"/>
      <c r="C1101" s="41"/>
      <c r="D1101" s="41"/>
      <c r="E1101" s="41"/>
      <c r="F1101" s="41"/>
      <c r="G1101" s="41"/>
      <c r="H1101" s="41"/>
      <c r="I1101" s="41"/>
      <c r="J1101" s="41"/>
      <c r="K1101" s="41"/>
    </row>
    <row r="1102" spans="2:11" x14ac:dyDescent="0.25">
      <c r="B1102" s="41"/>
      <c r="C1102" s="41"/>
      <c r="D1102" s="41"/>
      <c r="E1102" s="41"/>
      <c r="F1102" s="41"/>
      <c r="G1102" s="41"/>
      <c r="H1102" s="41"/>
      <c r="I1102" s="41"/>
      <c r="J1102" s="41"/>
      <c r="K1102" s="41"/>
    </row>
    <row r="1103" spans="2:11" x14ac:dyDescent="0.25">
      <c r="B1103" s="41"/>
      <c r="C1103" s="41"/>
      <c r="D1103" s="41"/>
      <c r="E1103" s="41"/>
      <c r="F1103" s="41"/>
      <c r="G1103" s="41"/>
      <c r="H1103" s="41"/>
      <c r="I1103" s="41"/>
      <c r="J1103" s="41"/>
      <c r="K1103" s="41"/>
    </row>
    <row r="1104" spans="2:11" x14ac:dyDescent="0.25">
      <c r="B1104" s="41"/>
      <c r="C1104" s="41"/>
      <c r="D1104" s="41"/>
      <c r="E1104" s="41"/>
      <c r="F1104" s="41"/>
      <c r="G1104" s="41"/>
      <c r="H1104" s="41"/>
      <c r="I1104" s="41"/>
      <c r="J1104" s="41"/>
      <c r="K1104" s="41"/>
    </row>
    <row r="1105" spans="2:11" x14ac:dyDescent="0.25">
      <c r="B1105" s="41"/>
      <c r="C1105" s="41"/>
      <c r="D1105" s="41"/>
      <c r="E1105" s="41"/>
      <c r="F1105" s="41"/>
      <c r="G1105" s="41"/>
      <c r="H1105" s="41"/>
      <c r="I1105" s="41"/>
      <c r="J1105" s="41"/>
      <c r="K1105" s="41"/>
    </row>
    <row r="1106" spans="2:11" x14ac:dyDescent="0.25">
      <c r="B1106" s="41"/>
      <c r="C1106" s="41"/>
      <c r="D1106" s="41"/>
      <c r="E1106" s="41"/>
      <c r="F1106" s="41"/>
      <c r="G1106" s="41"/>
      <c r="H1106" s="41"/>
      <c r="I1106" s="41"/>
      <c r="J1106" s="41"/>
      <c r="K1106" s="41"/>
    </row>
    <row r="1107" spans="2:11" x14ac:dyDescent="0.25">
      <c r="B1107" s="41"/>
      <c r="C1107" s="41"/>
      <c r="D1107" s="41"/>
      <c r="E1107" s="41"/>
      <c r="F1107" s="41"/>
      <c r="G1107" s="41"/>
      <c r="H1107" s="41"/>
      <c r="I1107" s="41"/>
      <c r="J1107" s="41"/>
      <c r="K1107" s="41"/>
    </row>
    <row r="1108" spans="2:11" x14ac:dyDescent="0.25">
      <c r="B1108" s="41"/>
      <c r="C1108" s="41"/>
      <c r="D1108" s="41"/>
      <c r="E1108" s="41"/>
      <c r="F1108" s="41"/>
      <c r="G1108" s="41"/>
      <c r="H1108" s="41"/>
      <c r="I1108" s="41"/>
      <c r="J1108" s="41"/>
      <c r="K1108" s="41"/>
    </row>
    <row r="1109" spans="2:11" x14ac:dyDescent="0.25"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</row>
    <row r="1110" spans="2:11" x14ac:dyDescent="0.25">
      <c r="B1110" s="41"/>
      <c r="C1110" s="41"/>
      <c r="D1110" s="41"/>
      <c r="E1110" s="41"/>
      <c r="F1110" s="41"/>
      <c r="G1110" s="41"/>
      <c r="H1110" s="41"/>
      <c r="I1110" s="41"/>
      <c r="J1110" s="41"/>
      <c r="K1110" s="41"/>
    </row>
    <row r="1111" spans="2:11" x14ac:dyDescent="0.25">
      <c r="B1111" s="41"/>
      <c r="C1111" s="41"/>
      <c r="D1111" s="41"/>
      <c r="E1111" s="41"/>
      <c r="F1111" s="41"/>
      <c r="G1111" s="41"/>
      <c r="H1111" s="41"/>
      <c r="I1111" s="41"/>
      <c r="J1111" s="41"/>
      <c r="K1111" s="41"/>
    </row>
    <row r="1112" spans="2:11" x14ac:dyDescent="0.25">
      <c r="B1112" s="41"/>
      <c r="C1112" s="41"/>
      <c r="D1112" s="41"/>
      <c r="E1112" s="41"/>
      <c r="F1112" s="41"/>
      <c r="G1112" s="41"/>
      <c r="H1112" s="41"/>
      <c r="I1112" s="41"/>
      <c r="J1112" s="41"/>
      <c r="K1112" s="41"/>
    </row>
    <row r="1113" spans="2:11" x14ac:dyDescent="0.25">
      <c r="B1113" s="41"/>
      <c r="C1113" s="41"/>
      <c r="D1113" s="41"/>
      <c r="E1113" s="41"/>
      <c r="F1113" s="41"/>
      <c r="G1113" s="41"/>
      <c r="H1113" s="41"/>
      <c r="I1113" s="41"/>
      <c r="J1113" s="41"/>
      <c r="K1113" s="41"/>
    </row>
    <row r="1114" spans="2:11" x14ac:dyDescent="0.25">
      <c r="B1114" s="41"/>
      <c r="C1114" s="41"/>
      <c r="D1114" s="41"/>
      <c r="E1114" s="41"/>
      <c r="F1114" s="41"/>
      <c r="G1114" s="41"/>
      <c r="H1114" s="41"/>
      <c r="I1114" s="41"/>
      <c r="J1114" s="41"/>
      <c r="K1114" s="41"/>
    </row>
    <row r="1115" spans="2:11" x14ac:dyDescent="0.25">
      <c r="B1115" s="41"/>
      <c r="C1115" s="41"/>
      <c r="D1115" s="41"/>
      <c r="E1115" s="41"/>
      <c r="F1115" s="41"/>
      <c r="G1115" s="41"/>
      <c r="H1115" s="41"/>
      <c r="I1115" s="41"/>
      <c r="J1115" s="41"/>
      <c r="K1115" s="41"/>
    </row>
    <row r="1116" spans="2:11" x14ac:dyDescent="0.25">
      <c r="B1116" s="41"/>
      <c r="C1116" s="41"/>
      <c r="D1116" s="41"/>
      <c r="E1116" s="41"/>
      <c r="F1116" s="41"/>
      <c r="G1116" s="41"/>
      <c r="H1116" s="41"/>
      <c r="I1116" s="41"/>
      <c r="J1116" s="41"/>
      <c r="K1116" s="41"/>
    </row>
    <row r="1117" spans="2:11" x14ac:dyDescent="0.25">
      <c r="B1117" s="41"/>
      <c r="C1117" s="41"/>
      <c r="D1117" s="41"/>
      <c r="E1117" s="41"/>
      <c r="F1117" s="41"/>
      <c r="G1117" s="41"/>
      <c r="H1117" s="41"/>
      <c r="I1117" s="41"/>
      <c r="J1117" s="41"/>
      <c r="K1117" s="41"/>
    </row>
    <row r="1118" spans="2:11" x14ac:dyDescent="0.25">
      <c r="B1118" s="41"/>
      <c r="C1118" s="41"/>
      <c r="D1118" s="41"/>
      <c r="E1118" s="41"/>
      <c r="F1118" s="41"/>
      <c r="G1118" s="41"/>
      <c r="H1118" s="41"/>
      <c r="I1118" s="41"/>
      <c r="J1118" s="41"/>
      <c r="K1118" s="41"/>
    </row>
    <row r="1119" spans="2:11" x14ac:dyDescent="0.25">
      <c r="B1119" s="41"/>
      <c r="C1119" s="41"/>
      <c r="D1119" s="41"/>
      <c r="E1119" s="41"/>
      <c r="F1119" s="41"/>
      <c r="G1119" s="41"/>
      <c r="H1119" s="41"/>
      <c r="I1119" s="41"/>
      <c r="J1119" s="41"/>
      <c r="K1119" s="41"/>
    </row>
    <row r="1120" spans="2:11" x14ac:dyDescent="0.25">
      <c r="B1120" s="41"/>
      <c r="C1120" s="41"/>
      <c r="D1120" s="41"/>
      <c r="E1120" s="41"/>
      <c r="F1120" s="41"/>
      <c r="G1120" s="41"/>
      <c r="H1120" s="41"/>
      <c r="I1120" s="41"/>
      <c r="J1120" s="41"/>
      <c r="K1120" s="41"/>
    </row>
    <row r="1121" spans="2:11" x14ac:dyDescent="0.25">
      <c r="B1121" s="41"/>
      <c r="C1121" s="41"/>
      <c r="D1121" s="41"/>
      <c r="E1121" s="41"/>
      <c r="F1121" s="41"/>
      <c r="G1121" s="41"/>
      <c r="H1121" s="41"/>
      <c r="I1121" s="41"/>
      <c r="J1121" s="41"/>
      <c r="K1121" s="41"/>
    </row>
    <row r="1122" spans="2:11" x14ac:dyDescent="0.25">
      <c r="B1122" s="41"/>
      <c r="C1122" s="41"/>
      <c r="D1122" s="41"/>
      <c r="E1122" s="41"/>
      <c r="F1122" s="41"/>
      <c r="G1122" s="41"/>
      <c r="H1122" s="41"/>
      <c r="I1122" s="41"/>
      <c r="J1122" s="41"/>
      <c r="K1122" s="41"/>
    </row>
    <row r="1123" spans="2:11" x14ac:dyDescent="0.25">
      <c r="B1123" s="41"/>
      <c r="C1123" s="41"/>
      <c r="D1123" s="41"/>
      <c r="E1123" s="41"/>
      <c r="F1123" s="41"/>
      <c r="G1123" s="41"/>
      <c r="H1123" s="41"/>
      <c r="I1123" s="41"/>
      <c r="J1123" s="41"/>
      <c r="K1123" s="41"/>
    </row>
    <row r="1124" spans="2:11" x14ac:dyDescent="0.25">
      <c r="B1124" s="41"/>
      <c r="C1124" s="41"/>
      <c r="D1124" s="41"/>
      <c r="E1124" s="41"/>
      <c r="F1124" s="41"/>
      <c r="G1124" s="41"/>
      <c r="H1124" s="41"/>
      <c r="I1124" s="41"/>
      <c r="J1124" s="41"/>
      <c r="K1124" s="41"/>
    </row>
    <row r="1125" spans="2:11" x14ac:dyDescent="0.25">
      <c r="B1125" s="41"/>
      <c r="C1125" s="41"/>
      <c r="D1125" s="41"/>
      <c r="E1125" s="41"/>
      <c r="F1125" s="41"/>
      <c r="G1125" s="41"/>
      <c r="H1125" s="41"/>
      <c r="I1125" s="41"/>
      <c r="J1125" s="41"/>
      <c r="K1125" s="41"/>
    </row>
    <row r="1126" spans="2:11" x14ac:dyDescent="0.25">
      <c r="B1126" s="41"/>
      <c r="C1126" s="41"/>
      <c r="D1126" s="41"/>
      <c r="E1126" s="41"/>
      <c r="F1126" s="41"/>
      <c r="G1126" s="41"/>
      <c r="H1126" s="41"/>
      <c r="I1126" s="41"/>
      <c r="J1126" s="41"/>
      <c r="K1126" s="41"/>
    </row>
    <row r="1127" spans="2:11" x14ac:dyDescent="0.25">
      <c r="B1127" s="41"/>
      <c r="C1127" s="41"/>
      <c r="D1127" s="41"/>
      <c r="E1127" s="41"/>
      <c r="F1127" s="41"/>
      <c r="G1127" s="41"/>
      <c r="H1127" s="41"/>
      <c r="I1127" s="41"/>
      <c r="J1127" s="41"/>
      <c r="K1127" s="41"/>
    </row>
    <row r="1128" spans="2:11" x14ac:dyDescent="0.25">
      <c r="B1128" s="41"/>
      <c r="C1128" s="41"/>
      <c r="D1128" s="41"/>
      <c r="E1128" s="41"/>
      <c r="F1128" s="41"/>
      <c r="G1128" s="41"/>
      <c r="H1128" s="41"/>
      <c r="I1128" s="41"/>
      <c r="J1128" s="41"/>
      <c r="K1128" s="41"/>
    </row>
    <row r="1129" spans="2:11" x14ac:dyDescent="0.25">
      <c r="B1129" s="41"/>
      <c r="C1129" s="41"/>
      <c r="D1129" s="41"/>
      <c r="E1129" s="41"/>
      <c r="F1129" s="41"/>
      <c r="G1129" s="41"/>
      <c r="H1129" s="41"/>
      <c r="I1129" s="41"/>
      <c r="J1129" s="41"/>
      <c r="K1129" s="41"/>
    </row>
    <row r="1130" spans="2:11" x14ac:dyDescent="0.25">
      <c r="B1130" s="41"/>
      <c r="C1130" s="41"/>
      <c r="D1130" s="41"/>
      <c r="E1130" s="41"/>
      <c r="F1130" s="41"/>
      <c r="G1130" s="41"/>
      <c r="H1130" s="41"/>
      <c r="I1130" s="41"/>
      <c r="J1130" s="41"/>
      <c r="K1130" s="41"/>
    </row>
    <row r="1131" spans="2:11" x14ac:dyDescent="0.25">
      <c r="B1131" s="41"/>
      <c r="C1131" s="41"/>
      <c r="D1131" s="41"/>
      <c r="E1131" s="41"/>
      <c r="F1131" s="41"/>
      <c r="G1131" s="41"/>
      <c r="H1131" s="41"/>
      <c r="I1131" s="41"/>
      <c r="J1131" s="41"/>
      <c r="K1131" s="41"/>
    </row>
    <row r="1132" spans="2:11" x14ac:dyDescent="0.25">
      <c r="B1132" s="41"/>
      <c r="C1132" s="41"/>
      <c r="D1132" s="41"/>
      <c r="E1132" s="41"/>
      <c r="F1132" s="41"/>
      <c r="G1132" s="41"/>
      <c r="H1132" s="41"/>
      <c r="I1132" s="41"/>
      <c r="J1132" s="41"/>
      <c r="K1132" s="41"/>
    </row>
    <row r="1133" spans="2:11" x14ac:dyDescent="0.25">
      <c r="B1133" s="41"/>
      <c r="C1133" s="41"/>
      <c r="D1133" s="41"/>
      <c r="E1133" s="41"/>
      <c r="F1133" s="41"/>
      <c r="G1133" s="41"/>
      <c r="H1133" s="41"/>
      <c r="I1133" s="41"/>
      <c r="J1133" s="41"/>
      <c r="K1133" s="41"/>
    </row>
    <row r="1134" spans="2:11" x14ac:dyDescent="0.25">
      <c r="B1134" s="41"/>
      <c r="C1134" s="41"/>
      <c r="D1134" s="41"/>
      <c r="E1134" s="41"/>
      <c r="F1134" s="41"/>
      <c r="G1134" s="41"/>
      <c r="H1134" s="41"/>
      <c r="I1134" s="41"/>
      <c r="J1134" s="41"/>
      <c r="K1134" s="41"/>
    </row>
    <row r="1135" spans="2:11" x14ac:dyDescent="0.25">
      <c r="B1135" s="41"/>
      <c r="C1135" s="41"/>
      <c r="D1135" s="41"/>
      <c r="E1135" s="41"/>
      <c r="F1135" s="41"/>
      <c r="G1135" s="41"/>
      <c r="H1135" s="41"/>
      <c r="I1135" s="41"/>
      <c r="J1135" s="41"/>
      <c r="K1135" s="41"/>
    </row>
    <row r="1136" spans="2:11" x14ac:dyDescent="0.25">
      <c r="B1136" s="41"/>
      <c r="C1136" s="41"/>
      <c r="D1136" s="41"/>
      <c r="E1136" s="41"/>
      <c r="F1136" s="41"/>
      <c r="G1136" s="41"/>
      <c r="H1136" s="41"/>
      <c r="I1136" s="41"/>
      <c r="J1136" s="41"/>
      <c r="K1136" s="41"/>
    </row>
    <row r="1137" spans="2:11" x14ac:dyDescent="0.25">
      <c r="B1137" s="41"/>
      <c r="C1137" s="41"/>
      <c r="D1137" s="41"/>
      <c r="E1137" s="41"/>
      <c r="F1137" s="41"/>
      <c r="G1137" s="41"/>
      <c r="H1137" s="41"/>
      <c r="I1137" s="41"/>
      <c r="J1137" s="41"/>
      <c r="K1137" s="41"/>
    </row>
    <row r="1138" spans="2:11" x14ac:dyDescent="0.25">
      <c r="B1138" s="41"/>
      <c r="C1138" s="41"/>
      <c r="D1138" s="41"/>
      <c r="E1138" s="41"/>
      <c r="F1138" s="41"/>
      <c r="G1138" s="41"/>
      <c r="H1138" s="41"/>
      <c r="I1138" s="41"/>
      <c r="J1138" s="41"/>
      <c r="K1138" s="41"/>
    </row>
    <row r="1139" spans="2:11" x14ac:dyDescent="0.25">
      <c r="B1139" s="41"/>
      <c r="C1139" s="41"/>
      <c r="D1139" s="41"/>
      <c r="E1139" s="41"/>
      <c r="F1139" s="41"/>
      <c r="G1139" s="41"/>
      <c r="H1139" s="41"/>
      <c r="I1139" s="41"/>
      <c r="J1139" s="41"/>
      <c r="K1139" s="41"/>
    </row>
    <row r="1140" spans="2:11" x14ac:dyDescent="0.25">
      <c r="B1140" s="41"/>
      <c r="C1140" s="41"/>
      <c r="D1140" s="41"/>
      <c r="E1140" s="41"/>
      <c r="F1140" s="41"/>
      <c r="G1140" s="41"/>
      <c r="H1140" s="41"/>
      <c r="I1140" s="41"/>
      <c r="J1140" s="41"/>
      <c r="K1140" s="41"/>
    </row>
  </sheetData>
  <mergeCells count="66">
    <mergeCell ref="B48:L48"/>
    <mergeCell ref="B49:L49"/>
    <mergeCell ref="B50:L54"/>
    <mergeCell ref="B45:E45"/>
    <mergeCell ref="J45:L45"/>
    <mergeCell ref="B46:E46"/>
    <mergeCell ref="J46:L46"/>
    <mergeCell ref="B47:E47"/>
    <mergeCell ref="J47:L47"/>
    <mergeCell ref="B40:L40"/>
    <mergeCell ref="B41:L41"/>
    <mergeCell ref="B42:K42"/>
    <mergeCell ref="B43:L43"/>
    <mergeCell ref="B44:E44"/>
    <mergeCell ref="J44:L44"/>
    <mergeCell ref="G23:H23"/>
    <mergeCell ref="G24:H24"/>
    <mergeCell ref="G25:H25"/>
    <mergeCell ref="G26:H26"/>
    <mergeCell ref="B39:L39"/>
    <mergeCell ref="B28:K28"/>
    <mergeCell ref="B29:K29"/>
    <mergeCell ref="B30:K30"/>
    <mergeCell ref="B31:K31"/>
    <mergeCell ref="B32:L32"/>
    <mergeCell ref="B33:L33"/>
    <mergeCell ref="B34:L34"/>
    <mergeCell ref="B35:L35"/>
    <mergeCell ref="B36:L36"/>
    <mergeCell ref="B37:L37"/>
    <mergeCell ref="B38:L38"/>
    <mergeCell ref="J11:J12"/>
    <mergeCell ref="K11:L12"/>
    <mergeCell ref="K10:L10"/>
    <mergeCell ref="K9:L9"/>
    <mergeCell ref="G27:H27"/>
    <mergeCell ref="B13:K13"/>
    <mergeCell ref="B14:K14"/>
    <mergeCell ref="G15:H15"/>
    <mergeCell ref="I15:K27"/>
    <mergeCell ref="G16:H16"/>
    <mergeCell ref="G17:H17"/>
    <mergeCell ref="G18:H18"/>
    <mergeCell ref="G19:H19"/>
    <mergeCell ref="G20:H20"/>
    <mergeCell ref="G21:H21"/>
    <mergeCell ref="G22:H22"/>
    <mergeCell ref="G12:I12"/>
    <mergeCell ref="B9:C9"/>
    <mergeCell ref="D9:E9"/>
    <mergeCell ref="G9:I9"/>
    <mergeCell ref="B10:C10"/>
    <mergeCell ref="D10:E10"/>
    <mergeCell ref="G10:I10"/>
    <mergeCell ref="B11:C12"/>
    <mergeCell ref="D11:E12"/>
    <mergeCell ref="F11:F12"/>
    <mergeCell ref="G11:I11"/>
    <mergeCell ref="B2:C5"/>
    <mergeCell ref="D2:J5"/>
    <mergeCell ref="B6:K6"/>
    <mergeCell ref="B7:K7"/>
    <mergeCell ref="B8:C8"/>
    <mergeCell ref="D8:E8"/>
    <mergeCell ref="G8:I8"/>
    <mergeCell ref="K8:L8"/>
  </mergeCells>
  <dataValidations count="1">
    <dataValidation type="list" allowBlank="1" showInputMessage="1" showErrorMessage="1" sqref="D11:E12" xr:uid="{00000000-0002-0000-0600-000000000000}">
      <formula1>$I$1:$J$1</formula1>
    </dataValidation>
  </dataValidations>
  <pageMargins left="1.1811023622047245" right="0.70866141732283472" top="1.1811023622047245" bottom="0.51181102362204722" header="0.31496062992125984" footer="0.31496062992125984"/>
  <pageSetup scale="44" orientation="portrait" horizontalDpi="4294967295" r:id="rId1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6</xdr:col>
                    <xdr:colOff>670560</xdr:colOff>
                    <xdr:row>9</xdr:row>
                    <xdr:rowOff>426720</xdr:rowOff>
                  </from>
                  <to>
                    <xdr:col>6</xdr:col>
                    <xdr:colOff>975360</xdr:colOff>
                    <xdr:row>10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>
                <anchor moveWithCells="1">
                  <from>
                    <xdr:col>8</xdr:col>
                    <xdr:colOff>304800</xdr:colOff>
                    <xdr:row>9</xdr:row>
                    <xdr:rowOff>441960</xdr:rowOff>
                  </from>
                  <to>
                    <xdr:col>8</xdr:col>
                    <xdr:colOff>609600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>
                <anchor moveWithCells="1">
                  <from>
                    <xdr:col>6</xdr:col>
                    <xdr:colOff>655320</xdr:colOff>
                    <xdr:row>10</xdr:row>
                    <xdr:rowOff>213360</xdr:rowOff>
                  </from>
                  <to>
                    <xdr:col>6</xdr:col>
                    <xdr:colOff>960120</xdr:colOff>
                    <xdr:row>11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C14" sqref="C14"/>
    </sheetView>
  </sheetViews>
  <sheetFormatPr baseColWidth="10" defaultColWidth="11.44140625" defaultRowHeight="14.4" x14ac:dyDescent="0.3"/>
  <cols>
    <col min="1" max="1" width="13" customWidth="1"/>
  </cols>
  <sheetData>
    <row r="1" spans="1:2" x14ac:dyDescent="0.3">
      <c r="A1" t="s">
        <v>18</v>
      </c>
      <c r="B1" t="s">
        <v>23</v>
      </c>
    </row>
    <row r="2" spans="1:2" x14ac:dyDescent="0.3">
      <c r="A2" t="s">
        <v>125</v>
      </c>
      <c r="B2" t="s">
        <v>126</v>
      </c>
    </row>
    <row r="3" spans="1:2" x14ac:dyDescent="0.3">
      <c r="A3" t="s">
        <v>26</v>
      </c>
      <c r="B3" t="s">
        <v>21</v>
      </c>
    </row>
    <row r="4" spans="1:2" x14ac:dyDescent="0.3">
      <c r="B4" t="s">
        <v>127</v>
      </c>
    </row>
    <row r="5" spans="1:2" x14ac:dyDescent="0.3">
      <c r="B5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46D4CDE3F52D47A7F41D6734C6B8D5" ma:contentTypeVersion="7" ma:contentTypeDescription="Create a new document." ma:contentTypeScope="" ma:versionID="ee92e7187d7698eba01197305b9feaab">
  <xsd:schema xmlns:xsd="http://www.w3.org/2001/XMLSchema" xmlns:xs="http://www.w3.org/2001/XMLSchema" xmlns:p="http://schemas.microsoft.com/office/2006/metadata/properties" xmlns:ns3="75fe8982-2348-4b2e-92a2-c2cf1e8fbe15" xmlns:ns4="3051d1f3-ac3b-4a14-bcce-fc0416f2d78b" targetNamespace="http://schemas.microsoft.com/office/2006/metadata/properties" ma:root="true" ma:fieldsID="70d8c31df603e2ae5877ccd1c94ace29" ns3:_="" ns4:_="">
    <xsd:import namespace="75fe8982-2348-4b2e-92a2-c2cf1e8fbe15"/>
    <xsd:import namespace="3051d1f3-ac3b-4a14-bcce-fc0416f2d7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e8982-2348-4b2e-92a2-c2cf1e8fb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1d1f3-ac3b-4a14-bcce-fc0416f2d7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5B3F11-003C-455F-8215-E77EB4A343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771C11-7370-4FE8-8460-0D521D9DF57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4DF4A6D-E742-449D-BC24-F0CDB04AC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e8982-2348-4b2e-92a2-c2cf1e8fbe15"/>
    <ds:schemaRef ds:uri="3051d1f3-ac3b-4a14-bcce-fc0416f2d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Tablero de Indicadores</vt:lpstr>
      <vt:lpstr>IND ESTADO SANITARIO</vt:lpstr>
      <vt:lpstr>IND COBERTURA PLAN CAPACITACIÓN</vt:lpstr>
      <vt:lpstr>IND EFICACIA CAPACITACIONES</vt:lpstr>
      <vt:lpstr>IND TRATAMIENTO PQRSF</vt:lpstr>
      <vt:lpstr>IND SISTEMA GESTION DOCUMENTAL</vt:lpstr>
      <vt:lpstr>IND CONFORMIDAD MICROBIOLOGICAS</vt:lpstr>
      <vt:lpstr>Hoja1</vt:lpstr>
      <vt:lpstr>Hoja2</vt:lpstr>
      <vt:lpstr>'IND COBERTURA PLAN CAPACITACIÓN'!Área_de_impresión</vt:lpstr>
      <vt:lpstr>'IND EFICACIA CAPACITACIONES'!Área_de_impresión</vt:lpstr>
      <vt:lpstr>'IND ESTADO SANITARIO'!Área_de_impresión</vt:lpstr>
      <vt:lpstr>'IND SISTEMA GESTION DOCUMENTAL'!Área_de_impresión</vt:lpstr>
      <vt:lpstr>'IND TRATAMIENTO PQRSF'!Área_de_impresión</vt:lpstr>
      <vt:lpstr>Frecuencia</vt:lpstr>
      <vt:lpstr>Tipo_Indicadores</vt:lpstr>
      <vt:lpstr>'IND COBERTURA PLAN CAPACITACIÓN'!Títulos_a_imprimir</vt:lpstr>
      <vt:lpstr>'IND EFICACIA CAPACITACIONES'!Títulos_a_imprimir</vt:lpstr>
      <vt:lpstr>'IND ESTADO SANITARIO'!Títulos_a_imprimir</vt:lpstr>
      <vt:lpstr>'IND SISTEMA GESTION DOCUMENTAL'!Títulos_a_imprimir</vt:lpstr>
      <vt:lpstr>'IND TRATAMIENTO PQRSF'!Títulos_a_imprimir</vt:lpstr>
      <vt:lpstr>'Tablero de Indicadores'!Títulos_a_imprimir</vt:lpstr>
    </vt:vector>
  </TitlesOfParts>
  <Manager/>
  <Company>Gobernacion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lmontañez</dc:creator>
  <cp:keywords/>
  <dc:description/>
  <cp:lastModifiedBy>Coordinador de Calidad</cp:lastModifiedBy>
  <cp:revision/>
  <dcterms:created xsi:type="dcterms:W3CDTF">2013-08-06T22:18:00Z</dcterms:created>
  <dcterms:modified xsi:type="dcterms:W3CDTF">2026-01-15T19:08:26Z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0x0101005A46D4CDE3F52D47A7F41D6734C6B8D5</vt:lpwstr>
  </property>
</Properties>
</file>