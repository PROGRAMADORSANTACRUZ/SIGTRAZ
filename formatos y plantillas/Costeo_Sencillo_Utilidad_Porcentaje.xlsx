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a311f4e9c42b001/VENTAS CHONCHOFIT LA 8/"/>
    </mc:Choice>
  </mc:AlternateContent>
  <xr:revisionPtr revIDLastSave="0" documentId="13_ncr:1_{C2B49BB3-65C7-4258-9C5F-EC81C15E91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eo sencil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9" i="1" l="1"/>
  <c r="G119" i="1" s="1"/>
  <c r="H119" i="1" s="1"/>
  <c r="F113" i="1"/>
  <c r="G113" i="1" s="1"/>
  <c r="H113" i="1" s="1"/>
  <c r="F107" i="1"/>
  <c r="G107" i="1" s="1"/>
  <c r="H107" i="1" s="1"/>
  <c r="F101" i="1"/>
  <c r="G101" i="1" s="1"/>
  <c r="H101" i="1" s="1"/>
  <c r="F95" i="1"/>
  <c r="G95" i="1" s="1"/>
  <c r="H95" i="1" s="1"/>
  <c r="F89" i="1"/>
  <c r="G89" i="1" s="1"/>
  <c r="H89" i="1" s="1"/>
  <c r="F83" i="1"/>
  <c r="G83" i="1" s="1"/>
  <c r="H83" i="1" s="1"/>
  <c r="F77" i="1"/>
  <c r="G77" i="1" s="1"/>
  <c r="H77" i="1" s="1"/>
  <c r="F71" i="1"/>
  <c r="G71" i="1" s="1"/>
  <c r="H71" i="1" s="1"/>
  <c r="F65" i="1"/>
  <c r="G65" i="1" s="1"/>
  <c r="H65" i="1" s="1"/>
  <c r="F59" i="1"/>
  <c r="G59" i="1" s="1"/>
  <c r="H59" i="1" s="1"/>
  <c r="F53" i="1"/>
  <c r="G53" i="1" s="1"/>
  <c r="H53" i="1" s="1"/>
  <c r="F47" i="1"/>
  <c r="G47" i="1" s="1"/>
  <c r="H47" i="1" s="1"/>
  <c r="F41" i="1"/>
  <c r="G41" i="1" s="1"/>
  <c r="H41" i="1" s="1"/>
  <c r="F35" i="1"/>
  <c r="G35" i="1" s="1"/>
  <c r="H35" i="1" s="1"/>
  <c r="F29" i="1"/>
  <c r="G29" i="1" s="1"/>
  <c r="H29" i="1" s="1"/>
  <c r="F23" i="1"/>
  <c r="G23" i="1" s="1"/>
  <c r="H23" i="1" s="1"/>
  <c r="F17" i="1"/>
  <c r="G17" i="1" s="1"/>
  <c r="H17" i="1" s="1"/>
  <c r="F11" i="1"/>
  <c r="G11" i="1" s="1"/>
  <c r="H11" i="1" s="1"/>
  <c r="F5" i="1"/>
  <c r="G5" i="1" s="1"/>
  <c r="H5" i="1" s="1"/>
</calcChain>
</file>

<file path=xl/sharedStrings.xml><?xml version="1.0" encoding="utf-8"?>
<sst xmlns="http://schemas.openxmlformats.org/spreadsheetml/2006/main" count="100" uniqueCount="65">
  <si>
    <t>EL CHONCHO FIT · Costeo sencillo por plato</t>
  </si>
  <si>
    <t>Escribe qué lleva cada plato y el costo de cada ingrediente. El total, la ganancia y el porcentaje se calculan solos.</t>
  </si>
  <si>
    <t>Categoría</t>
  </si>
  <si>
    <t>Plato</t>
  </si>
  <si>
    <t>Precio de venta</t>
  </si>
  <si>
    <t>Ingrediente / lo que lleva</t>
  </si>
  <si>
    <t>Costo ingrediente</t>
  </si>
  <si>
    <t>Costo total plato</t>
  </si>
  <si>
    <t>Ganancia</t>
  </si>
  <si>
    <t>Utilidad %</t>
  </si>
  <si>
    <t>Bebidas</t>
  </si>
  <si>
    <t>Jugo de maracuyá</t>
  </si>
  <si>
    <t>Jugo de corozo</t>
  </si>
  <si>
    <t>Jugo litro</t>
  </si>
  <si>
    <t>Agua</t>
  </si>
  <si>
    <t>Coca personal</t>
  </si>
  <si>
    <t>Gaseosa 1,5 L</t>
  </si>
  <si>
    <t>Pa' picar</t>
  </si>
  <si>
    <t>Chorizo</t>
  </si>
  <si>
    <t>Morcilla</t>
  </si>
  <si>
    <t>Porción de bollo</t>
  </si>
  <si>
    <t>Especialidades</t>
  </si>
  <si>
    <t>Ceviche de chicharrón</t>
  </si>
  <si>
    <t>Desgranado Chonchochuz</t>
  </si>
  <si>
    <t>Al barril</t>
  </si>
  <si>
    <t>Chicharrón</t>
  </si>
  <si>
    <t>Costilla</t>
  </si>
  <si>
    <t>Bondiola</t>
  </si>
  <si>
    <t>Combos</t>
  </si>
  <si>
    <t>Chicharrón + Chorizo</t>
  </si>
  <si>
    <t>Costilla + Chorizo</t>
  </si>
  <si>
    <t>Bondiola + Chorizo</t>
  </si>
  <si>
    <t>Picadas</t>
  </si>
  <si>
    <t>Para 2 personas</t>
  </si>
  <si>
    <t>Para 4 personas</t>
  </si>
  <si>
    <t>Picada familiar</t>
  </si>
  <si>
    <t>JUGO</t>
  </si>
  <si>
    <t xml:space="preserve">JUGO COMPRA </t>
  </si>
  <si>
    <t>COMPRA DE AGUA</t>
  </si>
  <si>
    <t>COMPRA DE 12 UNIDADES</t>
  </si>
  <si>
    <t>1 CHORIZO</t>
  </si>
  <si>
    <t>1 BOLLO</t>
  </si>
  <si>
    <t xml:space="preserve">MORCILLA </t>
  </si>
  <si>
    <t>1 PORCION DE 190 GRAMOS</t>
  </si>
  <si>
    <t>VERDURAS</t>
  </si>
  <si>
    <t>PLATANITO</t>
  </si>
  <si>
    <t>60 GRAMOS DE QUESO</t>
  </si>
  <si>
    <t>PAPCHONGO</t>
  </si>
  <si>
    <t>MAIZ</t>
  </si>
  <si>
    <t>100 GRAMOS DE BONDIOLA</t>
  </si>
  <si>
    <t>1 PORCION DE CHORIZO</t>
  </si>
  <si>
    <t>200 GRAMOS DE CHICHARRON</t>
  </si>
  <si>
    <t>200 GRAMOS DE COSTILLA</t>
  </si>
  <si>
    <t>200 GRAMOS DE BONDIOLA</t>
  </si>
  <si>
    <t xml:space="preserve">200 GRAMOS  DE CHICHARRON </t>
  </si>
  <si>
    <t>200 GRAMOS  DE COSTILLA</t>
  </si>
  <si>
    <t>200 GRAMOS  DE BONDIOLA</t>
  </si>
  <si>
    <t xml:space="preserve">200 GRAMOS DE CHICHARRON </t>
  </si>
  <si>
    <t>200 GRAMOS DE BONDIOLA O COSTILLA</t>
  </si>
  <si>
    <t>2 BOLLOS</t>
  </si>
  <si>
    <t xml:space="preserve">180 GRAMOS DE CHICHARRON </t>
  </si>
  <si>
    <t>180 GRAMOS DE BONDIOLA O COSTILLA</t>
  </si>
  <si>
    <t>2 CHORIZO</t>
  </si>
  <si>
    <t>1 MORCILLA</t>
  </si>
  <si>
    <t>3 BOLLOS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</si>
</sst>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8">
    <font>
      <sz val="11"/>
      <name val="Carlito"/>
    </font>
    <font>
      <b/>
      <sz val="18"/>
      <color rgb="FFFFFFFF"/>
      <name val="Aptos Display"/>
    </font>
    <font>
      <i/>
      <sz val="11"/>
      <color rgb="FF9A3412"/>
      <name val="Carlito"/>
    </font>
    <font>
      <b/>
      <sz val="11"/>
      <color rgb="FFFFFFFF"/>
      <name val="Carlito"/>
    </font>
    <font>
      <b/>
      <sz val="11"/>
      <color rgb="FF7C2D12"/>
      <name val="Carlito"/>
    </font>
    <font>
      <sz val="11"/>
      <color rgb="FF1D4ED8"/>
      <name val="Carlito"/>
    </font>
    <font>
      <b/>
      <sz val="11"/>
      <color rgb="FF166534"/>
      <name val="Carlito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1717"/>
      </patternFill>
    </fill>
    <fill>
      <patternFill patternType="solid">
        <fgColor rgb="FFFFF7ED"/>
      </patternFill>
    </fill>
    <fill>
      <patternFill patternType="solid">
        <fgColor rgb="FFF97316"/>
      </patternFill>
    </fill>
    <fill>
      <patternFill patternType="solid">
        <fgColor rgb="FFFFEDD5"/>
      </patternFill>
    </fill>
    <fill>
      <patternFill patternType="solid">
        <fgColor rgb="FFFFFBEA"/>
      </patternFill>
    </fill>
    <fill>
      <patternFill patternType="solid">
        <fgColor rgb="FFDCFCE7"/>
      </patternFill>
    </fill>
  </fills>
  <borders count="18">
    <border>
      <left/>
      <right/>
      <top/>
      <bottom/>
      <diagonal/>
    </border>
    <border>
      <left style="thin">
        <color rgb="FF9A3412"/>
      </left>
      <right/>
      <top style="thin">
        <color rgb="FF9A3412"/>
      </top>
      <bottom style="thin">
        <color rgb="FF9A3412"/>
      </bottom>
      <diagonal/>
    </border>
    <border>
      <left/>
      <right/>
      <top style="thin">
        <color rgb="FF9A3412"/>
      </top>
      <bottom style="thin">
        <color rgb="FF9A3412"/>
      </bottom>
      <diagonal/>
    </border>
    <border>
      <left/>
      <right style="thin">
        <color rgb="FF9A3412"/>
      </right>
      <top style="thin">
        <color rgb="FF9A3412"/>
      </top>
      <bottom style="thin">
        <color rgb="FF9A3412"/>
      </bottom>
      <diagonal/>
    </border>
    <border>
      <left style="thin">
        <color rgb="FFD6D3D1"/>
      </left>
      <right/>
      <top style="thin">
        <color rgb="FFD6D3D1"/>
      </top>
      <bottom/>
      <diagonal/>
    </border>
    <border>
      <left/>
      <right/>
      <top style="thin">
        <color rgb="FFD6D3D1"/>
      </top>
      <bottom/>
      <diagonal/>
    </border>
    <border>
      <left/>
      <right style="thin">
        <color rgb="FFD6D3D1"/>
      </right>
      <top style="thin">
        <color rgb="FFD6D3D1"/>
      </top>
      <bottom/>
      <diagonal/>
    </border>
    <border>
      <left style="thin">
        <color rgb="FFD6D3D1"/>
      </left>
      <right/>
      <top/>
      <bottom/>
      <diagonal/>
    </border>
    <border>
      <left/>
      <right style="thin">
        <color rgb="FFD6D3D1"/>
      </right>
      <top/>
      <bottom/>
      <diagonal/>
    </border>
    <border>
      <left style="thin">
        <color rgb="FFD6D3D1"/>
      </left>
      <right/>
      <top/>
      <bottom style="thin">
        <color rgb="FFD6D3D1"/>
      </bottom>
      <diagonal/>
    </border>
    <border>
      <left/>
      <right/>
      <top/>
      <bottom style="thin">
        <color rgb="FFD6D3D1"/>
      </bottom>
      <diagonal/>
    </border>
    <border>
      <left/>
      <right style="thin">
        <color rgb="FFD6D3D1"/>
      </right>
      <top/>
      <bottom style="thin">
        <color rgb="FFD6D3D1"/>
      </bottom>
      <diagonal/>
    </border>
    <border>
      <left/>
      <right style="thin">
        <color rgb="FFE7E5E4"/>
      </right>
      <top style="thin">
        <color rgb="FFD6D3D1"/>
      </top>
      <bottom style="thin">
        <color rgb="FFE7E5E4"/>
      </bottom>
      <diagonal/>
    </border>
    <border>
      <left style="thin">
        <color rgb="FFE7E5E4"/>
      </left>
      <right/>
      <top style="thin">
        <color rgb="FFD6D3D1"/>
      </top>
      <bottom style="thin">
        <color rgb="FFE7E5E4"/>
      </bottom>
      <diagonal/>
    </border>
    <border>
      <left/>
      <right style="thin">
        <color rgb="FFE7E5E4"/>
      </right>
      <top style="thin">
        <color rgb="FFE7E5E4"/>
      </top>
      <bottom style="thin">
        <color rgb="FFE7E5E4"/>
      </bottom>
      <diagonal/>
    </border>
    <border>
      <left style="thin">
        <color rgb="FFE7E5E4"/>
      </left>
      <right/>
      <top style="thin">
        <color rgb="FFE7E5E4"/>
      </top>
      <bottom style="thin">
        <color rgb="FFE7E5E4"/>
      </bottom>
      <diagonal/>
    </border>
    <border>
      <left/>
      <right style="thin">
        <color rgb="FFE7E5E4"/>
      </right>
      <top style="thin">
        <color rgb="FFE7E5E4"/>
      </top>
      <bottom/>
      <diagonal/>
    </border>
    <border>
      <left style="thin">
        <color rgb="FFE7E5E4"/>
      </left>
      <right/>
      <top style="thin">
        <color rgb="FFE7E5E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6" borderId="12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164" fontId="4" fillId="5" borderId="5" xfId="0" applyNumberFormat="1" applyFont="1" applyFill="1" applyBorder="1" applyAlignment="1">
      <alignment horizontal="center"/>
    </xf>
    <xf numFmtId="164" fontId="5" fillId="6" borderId="13" xfId="0" applyNumberFormat="1" applyFont="1" applyFill="1" applyBorder="1" applyAlignment="1">
      <alignment horizontal="center"/>
    </xf>
    <xf numFmtId="164" fontId="6" fillId="7" borderId="5" xfId="0" applyNumberFormat="1" applyFont="1" applyFill="1" applyBorder="1" applyAlignment="1">
      <alignment horizontal="center"/>
    </xf>
    <xf numFmtId="165" fontId="6" fillId="7" borderId="6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6" borderId="14" xfId="0" applyFont="1" applyFill="1" applyBorder="1" applyAlignment="1">
      <alignment horizontal="center"/>
    </xf>
    <xf numFmtId="164" fontId="5" fillId="6" borderId="15" xfId="0" applyNumberFormat="1" applyFont="1" applyFill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5" fillId="6" borderId="16" xfId="0" applyFont="1" applyFill="1" applyBorder="1" applyAlignment="1">
      <alignment horizontal="center"/>
    </xf>
    <xf numFmtId="164" fontId="5" fillId="6" borderId="17" xfId="0" applyNumberFormat="1" applyFont="1" applyFill="1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4"/>
  <sheetViews>
    <sheetView showGridLines="0" tabSelected="1" workbookViewId="0">
      <selection activeCell="E10" sqref="E10"/>
    </sheetView>
  </sheetViews>
  <sheetFormatPr baseColWidth="10" defaultColWidth="8.6640625" defaultRowHeight="14"/>
  <cols>
    <col min="1" max="1" width="18" style="12" customWidth="1"/>
    <col min="2" max="2" width="30" style="12" customWidth="1"/>
    <col min="3" max="3" width="17" style="12" customWidth="1"/>
    <col min="4" max="4" width="38" style="12" customWidth="1"/>
    <col min="5" max="7" width="18" style="12" customWidth="1"/>
    <col min="8" max="8" width="15" style="12" customWidth="1"/>
  </cols>
  <sheetData>
    <row r="1" spans="1:8" ht="36" customHeight="1">
      <c r="A1" s="23" t="s">
        <v>0</v>
      </c>
      <c r="B1" s="23"/>
      <c r="C1" s="23"/>
      <c r="D1" s="23"/>
      <c r="E1" s="23"/>
      <c r="F1" s="23"/>
      <c r="G1" s="23"/>
      <c r="H1" s="23"/>
    </row>
    <row r="2" spans="1:8" ht="25" customHeight="1">
      <c r="A2" s="24" t="s">
        <v>1</v>
      </c>
      <c r="B2" s="24"/>
      <c r="C2" s="24"/>
      <c r="D2" s="24"/>
      <c r="E2" s="24"/>
      <c r="F2" s="24"/>
      <c r="G2" s="24"/>
      <c r="H2" s="24"/>
    </row>
    <row r="4" spans="1:8" ht="30" customHeigh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4" t="s">
        <v>9</v>
      </c>
    </row>
    <row r="5" spans="1:8">
      <c r="A5" s="5" t="s">
        <v>10</v>
      </c>
      <c r="B5" s="6" t="s">
        <v>11</v>
      </c>
      <c r="C5" s="7">
        <v>4000</v>
      </c>
      <c r="D5" s="1" t="s">
        <v>36</v>
      </c>
      <c r="E5" s="8">
        <v>2000</v>
      </c>
      <c r="F5" s="9">
        <f>SUM(E5:E10)</f>
        <v>2000</v>
      </c>
      <c r="G5" s="9">
        <f>C5-F5</f>
        <v>2000</v>
      </c>
      <c r="H5" s="10">
        <f>IFERROR(G5/C5,0)</f>
        <v>0.5</v>
      </c>
    </row>
    <row r="6" spans="1:8">
      <c r="A6" s="11"/>
      <c r="C6" s="13"/>
      <c r="D6" s="14"/>
      <c r="E6" s="15"/>
      <c r="F6" s="13"/>
      <c r="G6" s="13"/>
      <c r="H6" s="16"/>
    </row>
    <row r="7" spans="1:8">
      <c r="A7" s="11"/>
      <c r="C7" s="13"/>
      <c r="D7" s="14"/>
      <c r="E7" s="15"/>
      <c r="F7" s="13"/>
      <c r="G7" s="13"/>
      <c r="H7" s="16"/>
    </row>
    <row r="8" spans="1:8">
      <c r="A8" s="11"/>
      <c r="C8" s="13"/>
      <c r="D8" s="14"/>
      <c r="E8" s="15"/>
      <c r="F8" s="13"/>
      <c r="G8" s="13"/>
      <c r="H8" s="16"/>
    </row>
    <row r="9" spans="1:8">
      <c r="A9" s="11"/>
      <c r="C9" s="13"/>
      <c r="D9" s="14"/>
      <c r="E9" s="15"/>
      <c r="F9" s="13"/>
      <c r="G9" s="13"/>
      <c r="H9" s="16"/>
    </row>
    <row r="10" spans="1:8">
      <c r="A10" s="17"/>
      <c r="B10" s="18"/>
      <c r="C10" s="19"/>
      <c r="D10" s="20"/>
      <c r="E10" s="21"/>
      <c r="F10" s="19"/>
      <c r="G10" s="19"/>
      <c r="H10" s="22"/>
    </row>
    <row r="11" spans="1:8">
      <c r="A11" s="5" t="s">
        <v>10</v>
      </c>
      <c r="B11" s="6" t="s">
        <v>12</v>
      </c>
      <c r="C11" s="7">
        <v>4000</v>
      </c>
      <c r="D11" s="1" t="s">
        <v>37</v>
      </c>
      <c r="E11" s="8">
        <v>2000</v>
      </c>
      <c r="F11" s="9">
        <f>SUM(E11:E16)</f>
        <v>2000</v>
      </c>
      <c r="G11" s="9">
        <f>C11-F11</f>
        <v>2000</v>
      </c>
      <c r="H11" s="10">
        <f>IFERROR(G11/C11,0)</f>
        <v>0.5</v>
      </c>
    </row>
    <row r="12" spans="1:8">
      <c r="A12" s="11"/>
      <c r="C12" s="13"/>
      <c r="D12" s="14"/>
      <c r="E12" s="15"/>
      <c r="F12" s="13"/>
      <c r="G12" s="13"/>
      <c r="H12" s="16"/>
    </row>
    <row r="13" spans="1:8">
      <c r="A13" s="11"/>
      <c r="C13" s="13"/>
      <c r="D13" s="14"/>
      <c r="E13" s="15"/>
      <c r="F13" s="13"/>
      <c r="G13" s="13"/>
      <c r="H13" s="16"/>
    </row>
    <row r="14" spans="1:8">
      <c r="A14" s="11"/>
      <c r="C14" s="13"/>
      <c r="D14" s="14"/>
      <c r="E14" s="15"/>
      <c r="F14" s="13"/>
      <c r="G14" s="13"/>
      <c r="H14" s="16"/>
    </row>
    <row r="15" spans="1:8">
      <c r="A15" s="11"/>
      <c r="C15" s="13"/>
      <c r="D15" s="14"/>
      <c r="E15" s="15"/>
      <c r="F15" s="13"/>
      <c r="G15" s="13"/>
      <c r="H15" s="16"/>
    </row>
    <row r="16" spans="1:8">
      <c r="A16" s="17"/>
      <c r="B16" s="18"/>
      <c r="C16" s="19"/>
      <c r="D16" s="20"/>
      <c r="E16" s="21"/>
      <c r="F16" s="19"/>
      <c r="G16" s="19"/>
      <c r="H16" s="22"/>
    </row>
    <row r="17" spans="1:8">
      <c r="A17" s="5" t="s">
        <v>10</v>
      </c>
      <c r="B17" s="6" t="s">
        <v>13</v>
      </c>
      <c r="C17" s="7">
        <v>8000</v>
      </c>
      <c r="D17" s="1" t="s">
        <v>37</v>
      </c>
      <c r="E17" s="8">
        <v>4000</v>
      </c>
      <c r="F17" s="9">
        <f>SUM(E17:E22)</f>
        <v>4000</v>
      </c>
      <c r="G17" s="9">
        <f>C17-F17</f>
        <v>4000</v>
      </c>
      <c r="H17" s="10">
        <f>IFERROR(G17/C17,0)</f>
        <v>0.5</v>
      </c>
    </row>
    <row r="18" spans="1:8">
      <c r="A18" s="11"/>
      <c r="C18" s="13"/>
      <c r="D18" s="14"/>
      <c r="E18" s="15"/>
      <c r="F18" s="13"/>
      <c r="G18" s="13"/>
      <c r="H18" s="16"/>
    </row>
    <row r="19" spans="1:8">
      <c r="A19" s="11"/>
      <c r="C19" s="13"/>
      <c r="D19" s="14"/>
      <c r="E19" s="15"/>
      <c r="F19" s="13"/>
      <c r="G19" s="13"/>
      <c r="H19" s="16"/>
    </row>
    <row r="20" spans="1:8">
      <c r="A20" s="11"/>
      <c r="C20" s="13"/>
      <c r="D20" s="14"/>
      <c r="E20" s="15"/>
      <c r="F20" s="13"/>
      <c r="G20" s="13"/>
      <c r="H20" s="16"/>
    </row>
    <row r="21" spans="1:8">
      <c r="A21" s="11"/>
      <c r="C21" s="13"/>
      <c r="D21" s="14"/>
      <c r="E21" s="15"/>
      <c r="F21" s="13"/>
      <c r="G21" s="13"/>
      <c r="H21" s="16"/>
    </row>
    <row r="22" spans="1:8">
      <c r="A22" s="17"/>
      <c r="B22" s="18"/>
      <c r="C22" s="19"/>
      <c r="D22" s="20"/>
      <c r="E22" s="21"/>
      <c r="F22" s="19"/>
      <c r="G22" s="19"/>
      <c r="H22" s="22"/>
    </row>
    <row r="23" spans="1:8">
      <c r="A23" s="5" t="s">
        <v>10</v>
      </c>
      <c r="B23" s="6" t="s">
        <v>14</v>
      </c>
      <c r="C23" s="7">
        <v>3000</v>
      </c>
      <c r="D23" s="1" t="s">
        <v>38</v>
      </c>
      <c r="E23" s="8">
        <v>650</v>
      </c>
      <c r="F23" s="9">
        <f>SUM(E23:E28)</f>
        <v>650</v>
      </c>
      <c r="G23" s="9">
        <f>C23-F23</f>
        <v>2350</v>
      </c>
      <c r="H23" s="10">
        <f>IFERROR(G23/C23,0)</f>
        <v>0.78333333333333333</v>
      </c>
    </row>
    <row r="24" spans="1:8">
      <c r="A24" s="11"/>
      <c r="C24" s="13"/>
      <c r="D24" s="14"/>
      <c r="E24" s="15"/>
      <c r="F24" s="13"/>
      <c r="G24" s="13"/>
      <c r="H24" s="16"/>
    </row>
    <row r="25" spans="1:8">
      <c r="A25" s="11"/>
      <c r="C25" s="13"/>
      <c r="D25" s="14"/>
      <c r="E25" s="15"/>
      <c r="F25" s="13"/>
      <c r="G25" s="13"/>
      <c r="H25" s="16"/>
    </row>
    <row r="26" spans="1:8">
      <c r="A26" s="11"/>
      <c r="C26" s="13"/>
      <c r="D26" s="14"/>
      <c r="E26" s="15"/>
      <c r="F26" s="13"/>
      <c r="G26" s="13"/>
      <c r="H26" s="16"/>
    </row>
    <row r="27" spans="1:8">
      <c r="A27" s="11"/>
      <c r="C27" s="13"/>
      <c r="D27" s="14"/>
      <c r="E27" s="15"/>
      <c r="F27" s="13"/>
      <c r="G27" s="13"/>
      <c r="H27" s="16"/>
    </row>
    <row r="28" spans="1:8">
      <c r="A28" s="17"/>
      <c r="B28" s="18"/>
      <c r="C28" s="19"/>
      <c r="D28" s="20"/>
      <c r="E28" s="21"/>
      <c r="F28" s="19"/>
      <c r="G28" s="19"/>
      <c r="H28" s="22"/>
    </row>
    <row r="29" spans="1:8">
      <c r="A29" s="5" t="s">
        <v>10</v>
      </c>
      <c r="B29" s="6" t="s">
        <v>15</v>
      </c>
      <c r="C29" s="7">
        <v>5000</v>
      </c>
      <c r="D29" s="1" t="s">
        <v>39</v>
      </c>
      <c r="E29" s="8">
        <v>2500</v>
      </c>
      <c r="F29" s="9">
        <f>SUM(E29:E34)</f>
        <v>2500</v>
      </c>
      <c r="G29" s="9">
        <f>C29-F29</f>
        <v>2500</v>
      </c>
      <c r="H29" s="10">
        <f>IFERROR(G29/C29,0)</f>
        <v>0.5</v>
      </c>
    </row>
    <row r="30" spans="1:8">
      <c r="A30" s="11"/>
      <c r="C30" s="13"/>
      <c r="D30" s="14"/>
      <c r="E30" s="15"/>
      <c r="F30" s="13"/>
      <c r="G30" s="13"/>
      <c r="H30" s="16"/>
    </row>
    <row r="31" spans="1:8">
      <c r="A31" s="11"/>
      <c r="C31" s="13"/>
      <c r="D31" s="14"/>
      <c r="E31" s="15"/>
      <c r="F31" s="13"/>
      <c r="G31" s="13"/>
      <c r="H31" s="16"/>
    </row>
    <row r="32" spans="1:8">
      <c r="A32" s="11"/>
      <c r="C32" s="13"/>
      <c r="D32" s="14"/>
      <c r="E32" s="15"/>
      <c r="F32" s="13"/>
      <c r="G32" s="13"/>
      <c r="H32" s="16"/>
    </row>
    <row r="33" spans="1:8">
      <c r="A33" s="11"/>
      <c r="C33" s="13"/>
      <c r="D33" s="14"/>
      <c r="E33" s="15"/>
      <c r="F33" s="13"/>
      <c r="G33" s="13"/>
      <c r="H33" s="16"/>
    </row>
    <row r="34" spans="1:8">
      <c r="A34" s="17"/>
      <c r="B34" s="18"/>
      <c r="C34" s="19"/>
      <c r="D34" s="20"/>
      <c r="E34" s="21"/>
      <c r="F34" s="19"/>
      <c r="G34" s="19"/>
      <c r="H34" s="22"/>
    </row>
    <row r="35" spans="1:8">
      <c r="A35" s="5" t="s">
        <v>10</v>
      </c>
      <c r="B35" s="6" t="s">
        <v>16</v>
      </c>
      <c r="C35" s="7">
        <v>10000</v>
      </c>
      <c r="D35" s="1" t="s">
        <v>39</v>
      </c>
      <c r="E35" s="8">
        <v>5417</v>
      </c>
      <c r="F35" s="9">
        <f>SUM(E35:E40)</f>
        <v>5417</v>
      </c>
      <c r="G35" s="9">
        <f>C35-F35</f>
        <v>4583</v>
      </c>
      <c r="H35" s="10">
        <f>IFERROR(G35/C35,0)</f>
        <v>0.45829999999999999</v>
      </c>
    </row>
    <row r="36" spans="1:8">
      <c r="A36" s="11"/>
      <c r="C36" s="13"/>
      <c r="D36" s="14"/>
      <c r="E36" s="15"/>
      <c r="F36" s="13"/>
      <c r="G36" s="13"/>
      <c r="H36" s="16"/>
    </row>
    <row r="37" spans="1:8">
      <c r="A37" s="11"/>
      <c r="C37" s="13"/>
      <c r="D37" s="14"/>
      <c r="E37" s="15"/>
      <c r="F37" s="13"/>
      <c r="G37" s="13"/>
      <c r="H37" s="16"/>
    </row>
    <row r="38" spans="1:8">
      <c r="A38" s="11"/>
      <c r="C38" s="13"/>
      <c r="D38" s="14"/>
      <c r="E38" s="15"/>
      <c r="F38" s="13"/>
      <c r="G38" s="13"/>
      <c r="H38" s="16"/>
    </row>
    <row r="39" spans="1:8">
      <c r="A39" s="11"/>
      <c r="C39" s="13"/>
      <c r="D39" s="14"/>
      <c r="E39" s="15"/>
      <c r="F39" s="13"/>
      <c r="G39" s="13"/>
      <c r="H39" s="16"/>
    </row>
    <row r="40" spans="1:8">
      <c r="A40" s="17"/>
      <c r="B40" s="18"/>
      <c r="C40" s="19"/>
      <c r="D40" s="20"/>
      <c r="E40" s="21"/>
      <c r="F40" s="19"/>
      <c r="G40" s="19"/>
      <c r="H40" s="22"/>
    </row>
    <row r="41" spans="1:8">
      <c r="A41" s="5" t="s">
        <v>17</v>
      </c>
      <c r="B41" s="6" t="s">
        <v>18</v>
      </c>
      <c r="C41" s="7">
        <v>6000</v>
      </c>
      <c r="D41" s="1" t="s">
        <v>40</v>
      </c>
      <c r="E41" s="8">
        <v>1950</v>
      </c>
      <c r="F41" s="9">
        <f>SUM(E41:E46)</f>
        <v>3050</v>
      </c>
      <c r="G41" s="9">
        <f>C41-F41</f>
        <v>2950</v>
      </c>
      <c r="H41" s="10">
        <f>IFERROR(G41/C41,0)</f>
        <v>0.49166666666666664</v>
      </c>
    </row>
    <row r="42" spans="1:8">
      <c r="A42" s="11"/>
      <c r="C42" s="13"/>
      <c r="D42" s="14" t="s">
        <v>41</v>
      </c>
      <c r="E42" s="15">
        <v>1100</v>
      </c>
      <c r="F42" s="13"/>
      <c r="G42" s="13"/>
      <c r="H42" s="16"/>
    </row>
    <row r="43" spans="1:8">
      <c r="A43" s="11"/>
      <c r="C43" s="13"/>
      <c r="D43" s="14"/>
      <c r="E43" s="15"/>
      <c r="F43" s="13"/>
      <c r="G43" s="13"/>
      <c r="H43" s="16"/>
    </row>
    <row r="44" spans="1:8">
      <c r="A44" s="11"/>
      <c r="C44" s="13"/>
      <c r="D44" s="14"/>
      <c r="E44" s="15"/>
      <c r="F44" s="13"/>
      <c r="G44" s="13"/>
      <c r="H44" s="16"/>
    </row>
    <row r="45" spans="1:8">
      <c r="A45" s="11"/>
      <c r="C45" s="13"/>
      <c r="D45" s="14"/>
      <c r="E45" s="15"/>
      <c r="F45" s="13"/>
      <c r="G45" s="13"/>
      <c r="H45" s="16"/>
    </row>
    <row r="46" spans="1:8">
      <c r="A46" s="17"/>
      <c r="B46" s="18"/>
      <c r="C46" s="19"/>
      <c r="D46" s="20"/>
      <c r="E46" s="21"/>
      <c r="F46" s="19"/>
      <c r="G46" s="19"/>
      <c r="H46" s="22"/>
    </row>
    <row r="47" spans="1:8">
      <c r="A47" s="5" t="s">
        <v>17</v>
      </c>
      <c r="B47" s="6" t="s">
        <v>19</v>
      </c>
      <c r="C47" s="7">
        <v>4000</v>
      </c>
      <c r="D47" s="1" t="s">
        <v>42</v>
      </c>
      <c r="E47" s="8">
        <v>1400</v>
      </c>
      <c r="F47" s="9">
        <f>SUM(E47:E52)</f>
        <v>2500</v>
      </c>
      <c r="G47" s="9">
        <f>C47-F47</f>
        <v>1500</v>
      </c>
      <c r="H47" s="10">
        <f>IFERROR(G47/C47,0)</f>
        <v>0.375</v>
      </c>
    </row>
    <row r="48" spans="1:8">
      <c r="A48" s="11"/>
      <c r="C48" s="13"/>
      <c r="D48" s="14" t="s">
        <v>41</v>
      </c>
      <c r="E48" s="15">
        <v>1100</v>
      </c>
      <c r="F48" s="13"/>
      <c r="G48" s="13"/>
      <c r="H48" s="16"/>
    </row>
    <row r="49" spans="1:8">
      <c r="A49" s="11"/>
      <c r="C49" s="13"/>
      <c r="D49" s="14"/>
      <c r="E49" s="15"/>
      <c r="F49" s="13"/>
      <c r="G49" s="13"/>
      <c r="H49" s="16"/>
    </row>
    <row r="50" spans="1:8">
      <c r="A50" s="11"/>
      <c r="C50" s="13"/>
      <c r="D50" s="14"/>
      <c r="E50" s="15"/>
      <c r="F50" s="13"/>
      <c r="G50" s="13"/>
      <c r="H50" s="16"/>
    </row>
    <row r="51" spans="1:8">
      <c r="A51" s="11"/>
      <c r="C51" s="13"/>
      <c r="D51" s="14"/>
      <c r="E51" s="15"/>
      <c r="F51" s="13"/>
      <c r="G51" s="13"/>
      <c r="H51" s="16"/>
    </row>
    <row r="52" spans="1:8">
      <c r="A52" s="17"/>
      <c r="B52" s="18"/>
      <c r="C52" s="19"/>
      <c r="D52" s="20"/>
      <c r="E52" s="21"/>
      <c r="F52" s="19"/>
      <c r="G52" s="19"/>
      <c r="H52" s="22"/>
    </row>
    <row r="53" spans="1:8">
      <c r="A53" s="5" t="s">
        <v>17</v>
      </c>
      <c r="B53" s="6" t="s">
        <v>20</v>
      </c>
      <c r="C53" s="7">
        <v>2000</v>
      </c>
      <c r="D53" s="1" t="s">
        <v>41</v>
      </c>
      <c r="E53" s="8">
        <v>1100</v>
      </c>
      <c r="F53" s="9">
        <f>SUM(E53:E58)</f>
        <v>1100</v>
      </c>
      <c r="G53" s="9">
        <f>C53-F53</f>
        <v>900</v>
      </c>
      <c r="H53" s="10">
        <f>IFERROR(G53/C53,0)</f>
        <v>0.45</v>
      </c>
    </row>
    <row r="54" spans="1:8">
      <c r="A54" s="11"/>
      <c r="C54" s="13"/>
      <c r="D54" s="14"/>
      <c r="E54" s="15"/>
      <c r="F54" s="13"/>
      <c r="G54" s="13"/>
      <c r="H54" s="16"/>
    </row>
    <row r="55" spans="1:8">
      <c r="A55" s="11"/>
      <c r="C55" s="13"/>
      <c r="D55" s="14"/>
      <c r="E55" s="15"/>
      <c r="F55" s="13"/>
      <c r="G55" s="13"/>
      <c r="H55" s="16"/>
    </row>
    <row r="56" spans="1:8">
      <c r="A56" s="11"/>
      <c r="C56" s="13"/>
      <c r="D56" s="14"/>
      <c r="E56" s="15"/>
      <c r="F56" s="13"/>
      <c r="G56" s="13"/>
      <c r="H56" s="16"/>
    </row>
    <row r="57" spans="1:8">
      <c r="A57" s="11"/>
      <c r="C57" s="13"/>
      <c r="D57" s="14"/>
      <c r="E57" s="15"/>
      <c r="F57" s="13"/>
      <c r="G57" s="13"/>
      <c r="H57" s="16"/>
    </row>
    <row r="58" spans="1:8">
      <c r="A58" s="17"/>
      <c r="B58" s="18"/>
      <c r="C58" s="19"/>
      <c r="D58" s="20"/>
      <c r="E58" s="21"/>
      <c r="F58" s="19"/>
      <c r="G58" s="19"/>
      <c r="H58" s="22"/>
    </row>
    <row r="59" spans="1:8">
      <c r="A59" s="5" t="s">
        <v>21</v>
      </c>
      <c r="B59" s="6" t="s">
        <v>22</v>
      </c>
      <c r="C59" s="7">
        <v>20000</v>
      </c>
      <c r="D59" s="1" t="s">
        <v>43</v>
      </c>
      <c r="E59" s="8">
        <v>5000</v>
      </c>
      <c r="F59" s="9">
        <f>SUM(E59:E64)</f>
        <v>5000</v>
      </c>
      <c r="G59" s="9">
        <f>C59-F59</f>
        <v>15000</v>
      </c>
      <c r="H59" s="10">
        <f>IFERROR(G59/C59,0)</f>
        <v>0.75</v>
      </c>
    </row>
    <row r="60" spans="1:8">
      <c r="A60" s="11"/>
      <c r="C60" s="13"/>
      <c r="D60" s="14" t="s">
        <v>44</v>
      </c>
      <c r="E60" s="15"/>
      <c r="F60" s="13"/>
      <c r="G60" s="13"/>
      <c r="H60" s="16"/>
    </row>
    <row r="61" spans="1:8">
      <c r="A61" s="11"/>
      <c r="C61" s="13"/>
      <c r="D61" s="14" t="s">
        <v>45</v>
      </c>
      <c r="E61" s="15"/>
      <c r="F61" s="13"/>
      <c r="G61" s="13"/>
      <c r="H61" s="16"/>
    </row>
    <row r="62" spans="1:8">
      <c r="A62" s="11"/>
      <c r="C62" s="13"/>
      <c r="D62" s="14"/>
      <c r="E62" s="15"/>
      <c r="F62" s="13"/>
      <c r="G62" s="13"/>
      <c r="H62" s="16"/>
    </row>
    <row r="63" spans="1:8">
      <c r="A63" s="11"/>
      <c r="C63" s="13"/>
      <c r="D63" s="14"/>
      <c r="E63" s="15"/>
      <c r="F63" s="13"/>
      <c r="G63" s="13"/>
      <c r="H63" s="16"/>
    </row>
    <row r="64" spans="1:8">
      <c r="A64" s="17"/>
      <c r="B64" s="18"/>
      <c r="C64" s="19"/>
      <c r="D64" s="20"/>
      <c r="E64" s="21"/>
      <c r="F64" s="19"/>
      <c r="G64" s="19"/>
      <c r="H64" s="22"/>
    </row>
    <row r="65" spans="1:8">
      <c r="A65" s="5" t="s">
        <v>21</v>
      </c>
      <c r="B65" s="6" t="s">
        <v>23</v>
      </c>
      <c r="C65" s="7">
        <v>20000</v>
      </c>
      <c r="D65" s="1" t="s">
        <v>50</v>
      </c>
      <c r="E65" s="8">
        <v>1950</v>
      </c>
      <c r="F65" s="9">
        <f>SUM(E65:E70)</f>
        <v>10370</v>
      </c>
      <c r="G65" s="9">
        <f>C65-F65</f>
        <v>9630</v>
      </c>
      <c r="H65" s="10">
        <f>IFERROR(G65/C65,0)</f>
        <v>0.48149999999999998</v>
      </c>
    </row>
    <row r="66" spans="1:8">
      <c r="A66" s="11"/>
      <c r="C66" s="13"/>
      <c r="D66" s="14" t="s">
        <v>41</v>
      </c>
      <c r="E66" s="15">
        <v>1100</v>
      </c>
      <c r="F66" s="13"/>
      <c r="G66" s="13"/>
      <c r="H66" s="16"/>
    </row>
    <row r="67" spans="1:8">
      <c r="A67" s="11"/>
      <c r="C67" s="13"/>
      <c r="D67" s="14" t="s">
        <v>46</v>
      </c>
      <c r="E67" s="15">
        <v>1320</v>
      </c>
      <c r="F67" s="13"/>
      <c r="G67" s="13"/>
      <c r="H67" s="16"/>
    </row>
    <row r="68" spans="1:8">
      <c r="A68" s="11"/>
      <c r="C68" s="13"/>
      <c r="D68" s="14" t="s">
        <v>47</v>
      </c>
      <c r="E68" s="15">
        <v>500</v>
      </c>
      <c r="F68" s="13"/>
      <c r="G68" s="13"/>
      <c r="H68" s="16"/>
    </row>
    <row r="69" spans="1:8">
      <c r="A69" s="11"/>
      <c r="C69" s="13"/>
      <c r="D69" s="14" t="s">
        <v>48</v>
      </c>
      <c r="E69" s="15">
        <v>500</v>
      </c>
      <c r="F69" s="13"/>
      <c r="G69" s="13"/>
      <c r="H69" s="16"/>
    </row>
    <row r="70" spans="1:8">
      <c r="A70" s="17"/>
      <c r="B70" s="18"/>
      <c r="C70" s="19"/>
      <c r="D70" s="20" t="s">
        <v>49</v>
      </c>
      <c r="E70" s="21">
        <v>5000</v>
      </c>
      <c r="F70" s="19"/>
      <c r="G70" s="19"/>
      <c r="H70" s="22"/>
    </row>
    <row r="71" spans="1:8">
      <c r="A71" s="5" t="s">
        <v>24</v>
      </c>
      <c r="B71" s="6" t="s">
        <v>25</v>
      </c>
      <c r="C71" s="7">
        <v>17000</v>
      </c>
      <c r="D71" s="1" t="s">
        <v>51</v>
      </c>
      <c r="E71" s="8">
        <v>5200</v>
      </c>
      <c r="F71" s="9">
        <f>SUM(E71:E76)</f>
        <v>6300</v>
      </c>
      <c r="G71" s="9">
        <f>C71-F71</f>
        <v>10700</v>
      </c>
      <c r="H71" s="10">
        <f>IFERROR(G71/C71,0)</f>
        <v>0.62941176470588234</v>
      </c>
    </row>
    <row r="72" spans="1:8">
      <c r="A72" s="11"/>
      <c r="C72" s="13"/>
      <c r="D72" s="14" t="s">
        <v>41</v>
      </c>
      <c r="E72" s="15">
        <v>1100</v>
      </c>
      <c r="F72" s="13"/>
      <c r="G72" s="13"/>
      <c r="H72" s="16"/>
    </row>
    <row r="73" spans="1:8">
      <c r="A73" s="11"/>
      <c r="C73" s="13"/>
      <c r="D73" s="14"/>
      <c r="E73" s="15"/>
      <c r="F73" s="13"/>
      <c r="G73" s="13"/>
      <c r="H73" s="16"/>
    </row>
    <row r="74" spans="1:8">
      <c r="A74" s="11"/>
      <c r="C74" s="13"/>
      <c r="D74" s="14"/>
      <c r="E74" s="15"/>
      <c r="F74" s="13"/>
      <c r="G74" s="13"/>
      <c r="H74" s="16"/>
    </row>
    <row r="75" spans="1:8">
      <c r="A75" s="11"/>
      <c r="C75" s="13"/>
      <c r="D75" s="14"/>
      <c r="E75" s="15"/>
      <c r="F75" s="13"/>
      <c r="G75" s="13"/>
      <c r="H75" s="16"/>
    </row>
    <row r="76" spans="1:8">
      <c r="A76" s="17"/>
      <c r="B76" s="18"/>
      <c r="C76" s="19"/>
      <c r="D76" s="20"/>
      <c r="E76" s="21"/>
      <c r="F76" s="19"/>
      <c r="G76" s="19"/>
      <c r="H76" s="22"/>
    </row>
    <row r="77" spans="1:8">
      <c r="A77" s="5" t="s">
        <v>24</v>
      </c>
      <c r="B77" s="6" t="s">
        <v>26</v>
      </c>
      <c r="C77" s="7">
        <v>17000</v>
      </c>
      <c r="D77" s="1" t="s">
        <v>52</v>
      </c>
      <c r="E77" s="8">
        <v>5200</v>
      </c>
      <c r="F77" s="9">
        <f>SUM(E77:E82)</f>
        <v>6300</v>
      </c>
      <c r="G77" s="9">
        <f>C77-F77</f>
        <v>10700</v>
      </c>
      <c r="H77" s="10">
        <f>IFERROR(G77/C77,0)</f>
        <v>0.62941176470588234</v>
      </c>
    </row>
    <row r="78" spans="1:8">
      <c r="A78" s="11"/>
      <c r="C78" s="13"/>
      <c r="D78" s="14" t="s">
        <v>41</v>
      </c>
      <c r="E78" s="15">
        <v>1100</v>
      </c>
      <c r="F78" s="13"/>
      <c r="G78" s="13"/>
      <c r="H78" s="16"/>
    </row>
    <row r="79" spans="1:8">
      <c r="A79" s="11"/>
      <c r="C79" s="13"/>
      <c r="D79" s="14"/>
      <c r="E79" s="15"/>
      <c r="F79" s="13"/>
      <c r="G79" s="13"/>
      <c r="H79" s="16"/>
    </row>
    <row r="80" spans="1:8">
      <c r="A80" s="11"/>
      <c r="C80" s="13"/>
      <c r="D80" s="14"/>
      <c r="E80" s="15"/>
      <c r="F80" s="13"/>
      <c r="G80" s="13"/>
      <c r="H80" s="16"/>
    </row>
    <row r="81" spans="1:8">
      <c r="A81" s="11"/>
      <c r="C81" s="13"/>
      <c r="D81" s="14"/>
      <c r="E81" s="15"/>
      <c r="F81" s="13"/>
      <c r="G81" s="13"/>
      <c r="H81" s="16"/>
    </row>
    <row r="82" spans="1:8">
      <c r="A82" s="17"/>
      <c r="B82" s="18"/>
      <c r="C82" s="19"/>
      <c r="D82" s="20"/>
      <c r="E82" s="21"/>
      <c r="F82" s="19"/>
      <c r="G82" s="19"/>
      <c r="H82" s="22"/>
    </row>
    <row r="83" spans="1:8">
      <c r="A83" s="5" t="s">
        <v>24</v>
      </c>
      <c r="B83" s="6" t="s">
        <v>27</v>
      </c>
      <c r="C83" s="7">
        <v>17000</v>
      </c>
      <c r="D83" s="1" t="s">
        <v>53</v>
      </c>
      <c r="E83" s="8">
        <v>5200</v>
      </c>
      <c r="F83" s="9">
        <f>SUM(E83:E88)</f>
        <v>6300</v>
      </c>
      <c r="G83" s="9">
        <f>C83-F83</f>
        <v>10700</v>
      </c>
      <c r="H83" s="10">
        <f>IFERROR(G83/C83,0)</f>
        <v>0.62941176470588234</v>
      </c>
    </row>
    <row r="84" spans="1:8">
      <c r="A84" s="11"/>
      <c r="C84" s="13"/>
      <c r="D84" s="14" t="s">
        <v>41</v>
      </c>
      <c r="E84" s="15">
        <v>1100</v>
      </c>
      <c r="F84" s="13"/>
      <c r="G84" s="13"/>
      <c r="H84" s="16"/>
    </row>
    <row r="85" spans="1:8">
      <c r="A85" s="11"/>
      <c r="C85" s="13"/>
      <c r="D85" s="14"/>
      <c r="E85" s="15"/>
      <c r="F85" s="13"/>
      <c r="G85" s="13"/>
      <c r="H85" s="16"/>
    </row>
    <row r="86" spans="1:8">
      <c r="A86" s="11"/>
      <c r="C86" s="13"/>
      <c r="D86" s="14"/>
      <c r="E86" s="15"/>
      <c r="F86" s="13"/>
      <c r="G86" s="13"/>
      <c r="H86" s="16"/>
    </row>
    <row r="87" spans="1:8">
      <c r="A87" s="11"/>
      <c r="C87" s="13"/>
      <c r="D87" s="14"/>
      <c r="E87" s="15"/>
      <c r="F87" s="13"/>
      <c r="G87" s="13"/>
      <c r="H87" s="16"/>
    </row>
    <row r="88" spans="1:8">
      <c r="A88" s="17"/>
      <c r="B88" s="18"/>
      <c r="C88" s="19"/>
      <c r="D88" s="20"/>
      <c r="E88" s="21"/>
      <c r="F88" s="19"/>
      <c r="G88" s="19"/>
      <c r="H88" s="22"/>
    </row>
    <row r="89" spans="1:8">
      <c r="A89" s="5" t="s">
        <v>28</v>
      </c>
      <c r="B89" s="6" t="s">
        <v>29</v>
      </c>
      <c r="C89" s="7">
        <v>23000</v>
      </c>
      <c r="D89" s="1" t="s">
        <v>54</v>
      </c>
      <c r="E89" s="8">
        <v>5200</v>
      </c>
      <c r="F89" s="9">
        <f>SUM(E89:E94)</f>
        <v>8250</v>
      </c>
      <c r="G89" s="9">
        <f>C89-F89</f>
        <v>14750</v>
      </c>
      <c r="H89" s="10">
        <f>IFERROR(G89/C89,0)</f>
        <v>0.64130434782608692</v>
      </c>
    </row>
    <row r="90" spans="1:8">
      <c r="A90" s="11"/>
      <c r="C90" s="13"/>
      <c r="D90" s="14" t="s">
        <v>40</v>
      </c>
      <c r="E90" s="15">
        <v>1950</v>
      </c>
      <c r="F90" s="13"/>
      <c r="G90" s="13"/>
      <c r="H90" s="16"/>
    </row>
    <row r="91" spans="1:8">
      <c r="A91" s="11"/>
      <c r="C91" s="13"/>
      <c r="D91" s="14" t="s">
        <v>41</v>
      </c>
      <c r="E91" s="15">
        <v>1100</v>
      </c>
      <c r="F91" s="13"/>
      <c r="G91" s="13"/>
      <c r="H91" s="16"/>
    </row>
    <row r="92" spans="1:8">
      <c r="A92" s="11"/>
      <c r="C92" s="13"/>
      <c r="D92" s="14"/>
      <c r="E92" s="15"/>
      <c r="F92" s="13"/>
      <c r="G92" s="13"/>
      <c r="H92" s="16"/>
    </row>
    <row r="93" spans="1:8">
      <c r="A93" s="11"/>
      <c r="C93" s="13"/>
      <c r="D93" s="14"/>
      <c r="E93" s="15"/>
      <c r="F93" s="13"/>
      <c r="G93" s="13"/>
      <c r="H93" s="16"/>
    </row>
    <row r="94" spans="1:8">
      <c r="A94" s="17"/>
      <c r="B94" s="18"/>
      <c r="C94" s="19"/>
      <c r="D94" s="20"/>
      <c r="E94" s="21"/>
      <c r="F94" s="19"/>
      <c r="G94" s="19"/>
      <c r="H94" s="22"/>
    </row>
    <row r="95" spans="1:8">
      <c r="A95" s="5" t="s">
        <v>28</v>
      </c>
      <c r="B95" s="6" t="s">
        <v>30</v>
      </c>
      <c r="C95" s="7">
        <v>23000</v>
      </c>
      <c r="D95" s="1" t="s">
        <v>55</v>
      </c>
      <c r="E95" s="8">
        <v>5200</v>
      </c>
      <c r="F95" s="9">
        <f>SUM(E95:E100)</f>
        <v>8250</v>
      </c>
      <c r="G95" s="9">
        <f>C95-F95</f>
        <v>14750</v>
      </c>
      <c r="H95" s="10">
        <f>IFERROR(G95/C95,0)</f>
        <v>0.64130434782608692</v>
      </c>
    </row>
    <row r="96" spans="1:8">
      <c r="A96" s="11"/>
      <c r="C96" s="13"/>
      <c r="D96" s="14" t="s">
        <v>40</v>
      </c>
      <c r="E96" s="15">
        <v>1950</v>
      </c>
      <c r="F96" s="13"/>
      <c r="G96" s="13"/>
      <c r="H96" s="16"/>
    </row>
    <row r="97" spans="1:8">
      <c r="A97" s="11"/>
      <c r="C97" s="13"/>
      <c r="D97" s="14" t="s">
        <v>41</v>
      </c>
      <c r="E97" s="15">
        <v>1100</v>
      </c>
      <c r="F97" s="13"/>
      <c r="G97" s="13"/>
      <c r="H97" s="16"/>
    </row>
    <row r="98" spans="1:8">
      <c r="A98" s="11"/>
      <c r="C98" s="13"/>
      <c r="D98" s="14"/>
      <c r="E98" s="15"/>
      <c r="F98" s="13"/>
      <c r="G98" s="13"/>
      <c r="H98" s="16"/>
    </row>
    <row r="99" spans="1:8">
      <c r="A99" s="11"/>
      <c r="C99" s="13"/>
      <c r="D99" s="14"/>
      <c r="E99" s="15"/>
      <c r="F99" s="13"/>
      <c r="G99" s="13"/>
      <c r="H99" s="16"/>
    </row>
    <row r="100" spans="1:8">
      <c r="A100" s="17"/>
      <c r="B100" s="18"/>
      <c r="C100" s="19"/>
      <c r="D100" s="20"/>
      <c r="E100" s="21"/>
      <c r="F100" s="19"/>
      <c r="G100" s="19"/>
      <c r="H100" s="22"/>
    </row>
    <row r="101" spans="1:8">
      <c r="A101" s="5" t="s">
        <v>28</v>
      </c>
      <c r="B101" s="6" t="s">
        <v>31</v>
      </c>
      <c r="C101" s="7">
        <v>23000</v>
      </c>
      <c r="D101" s="1" t="s">
        <v>56</v>
      </c>
      <c r="E101" s="8">
        <v>5200</v>
      </c>
      <c r="F101" s="9">
        <f>SUM(E101:E106)</f>
        <v>8250</v>
      </c>
      <c r="G101" s="9">
        <f>C101-F101</f>
        <v>14750</v>
      </c>
      <c r="H101" s="10">
        <f>IFERROR(G101/C101,0)</f>
        <v>0.64130434782608692</v>
      </c>
    </row>
    <row r="102" spans="1:8">
      <c r="A102" s="11"/>
      <c r="C102" s="13"/>
      <c r="D102" s="14" t="s">
        <v>40</v>
      </c>
      <c r="E102" s="15">
        <v>1950</v>
      </c>
      <c r="F102" s="13"/>
      <c r="G102" s="13"/>
      <c r="H102" s="16"/>
    </row>
    <row r="103" spans="1:8">
      <c r="A103" s="11"/>
      <c r="C103" s="13"/>
      <c r="D103" s="14" t="s">
        <v>41</v>
      </c>
      <c r="E103" s="15">
        <v>1100</v>
      </c>
      <c r="F103" s="13"/>
      <c r="G103" s="13"/>
      <c r="H103" s="16"/>
    </row>
    <row r="104" spans="1:8">
      <c r="A104" s="11"/>
      <c r="C104" s="13"/>
      <c r="D104" s="14"/>
      <c r="E104" s="15"/>
      <c r="F104" s="13"/>
      <c r="G104" s="13"/>
      <c r="H104" s="16"/>
    </row>
    <row r="105" spans="1:8">
      <c r="A105" s="11"/>
      <c r="C105" s="13"/>
      <c r="D105" s="14"/>
      <c r="E105" s="15"/>
      <c r="F105" s="13"/>
      <c r="G105" s="13"/>
      <c r="H105" s="16"/>
    </row>
    <row r="106" spans="1:8">
      <c r="A106" s="17"/>
      <c r="B106" s="18"/>
      <c r="C106" s="19"/>
      <c r="D106" s="20"/>
      <c r="E106" s="21"/>
      <c r="F106" s="19"/>
      <c r="G106" s="19"/>
      <c r="H106" s="22"/>
    </row>
    <row r="107" spans="1:8">
      <c r="A107" s="5" t="s">
        <v>32</v>
      </c>
      <c r="B107" s="6" t="s">
        <v>33</v>
      </c>
      <c r="C107" s="7">
        <v>40000</v>
      </c>
      <c r="D107" s="1" t="s">
        <v>60</v>
      </c>
      <c r="E107" s="8">
        <v>5200</v>
      </c>
      <c r="F107" s="9">
        <f>SUM(E107:E112)</f>
        <v>14550</v>
      </c>
      <c r="G107" s="9">
        <f>C107-F107</f>
        <v>25450</v>
      </c>
      <c r="H107" s="10">
        <f>IFERROR(G107/C107,0)</f>
        <v>0.63624999999999998</v>
      </c>
    </row>
    <row r="108" spans="1:8">
      <c r="A108" s="11"/>
      <c r="C108" s="13"/>
      <c r="D108" s="14" t="s">
        <v>61</v>
      </c>
      <c r="E108" s="15">
        <v>5200</v>
      </c>
      <c r="F108" s="13"/>
      <c r="G108" s="13"/>
      <c r="H108" s="16"/>
    </row>
    <row r="109" spans="1:8">
      <c r="A109" s="11"/>
      <c r="C109" s="13"/>
      <c r="D109" s="14" t="s">
        <v>59</v>
      </c>
      <c r="E109" s="15">
        <v>2200</v>
      </c>
      <c r="F109" s="13"/>
      <c r="G109" s="13"/>
      <c r="H109" s="16"/>
    </row>
    <row r="110" spans="1:8">
      <c r="A110" s="11"/>
      <c r="C110" s="13"/>
      <c r="D110" s="14" t="s">
        <v>40</v>
      </c>
      <c r="E110" s="15">
        <v>1950</v>
      </c>
      <c r="F110" s="13"/>
      <c r="G110" s="13"/>
      <c r="H110" s="16"/>
    </row>
    <row r="111" spans="1:8">
      <c r="A111" s="11"/>
      <c r="C111" s="13"/>
      <c r="D111" s="14"/>
      <c r="E111" s="15"/>
      <c r="F111" s="13"/>
      <c r="G111" s="13"/>
      <c r="H111" s="16"/>
    </row>
    <row r="112" spans="1:8">
      <c r="A112" s="17"/>
      <c r="B112" s="18"/>
      <c r="C112" s="19"/>
      <c r="D112" s="20"/>
      <c r="E112" s="21"/>
      <c r="F112" s="19"/>
      <c r="G112" s="19"/>
      <c r="H112" s="22"/>
    </row>
    <row r="113" spans="1:8">
      <c r="A113" s="5" t="s">
        <v>32</v>
      </c>
      <c r="B113" s="6" t="s">
        <v>34</v>
      </c>
      <c r="C113" s="7">
        <v>60000</v>
      </c>
      <c r="D113" s="1" t="s">
        <v>57</v>
      </c>
      <c r="E113" s="8">
        <v>5200</v>
      </c>
      <c r="F113" s="9">
        <f>SUM(E113:E118)</f>
        <v>19750</v>
      </c>
      <c r="G113" s="9">
        <f>C113-F113</f>
        <v>40250</v>
      </c>
      <c r="H113" s="10">
        <f>IFERROR(G113/C113,0)</f>
        <v>0.67083333333333328</v>
      </c>
    </row>
    <row r="114" spans="1:8">
      <c r="A114" s="11"/>
      <c r="C114" s="13"/>
      <c r="D114" s="14" t="s">
        <v>58</v>
      </c>
      <c r="E114" s="15">
        <v>5200</v>
      </c>
      <c r="F114" s="13"/>
      <c r="G114" s="13"/>
      <c r="H114" s="16"/>
    </row>
    <row r="115" spans="1:8">
      <c r="A115" s="11"/>
      <c r="C115" s="13"/>
      <c r="D115" s="14" t="s">
        <v>58</v>
      </c>
      <c r="E115" s="15">
        <v>5200</v>
      </c>
      <c r="F115" s="13"/>
      <c r="G115" s="13"/>
      <c r="H115" s="16"/>
    </row>
    <row r="116" spans="1:8">
      <c r="A116" s="11"/>
      <c r="C116" s="13"/>
      <c r="D116" s="14" t="s">
        <v>59</v>
      </c>
      <c r="E116" s="15">
        <v>2200</v>
      </c>
      <c r="F116" s="13"/>
      <c r="G116" s="13"/>
      <c r="H116" s="16"/>
    </row>
    <row r="117" spans="1:8">
      <c r="A117" s="11"/>
      <c r="C117" s="13"/>
      <c r="D117" s="14" t="s">
        <v>40</v>
      </c>
      <c r="E117" s="15">
        <v>1950</v>
      </c>
      <c r="F117" s="13"/>
      <c r="G117" s="13"/>
      <c r="H117" s="16"/>
    </row>
    <row r="118" spans="1:8">
      <c r="A118" s="17"/>
      <c r="B118" s="18"/>
      <c r="C118" s="19"/>
      <c r="D118" s="20"/>
      <c r="E118" s="21"/>
      <c r="F118" s="19"/>
      <c r="G118" s="19"/>
      <c r="H118" s="22"/>
    </row>
    <row r="119" spans="1:8">
      <c r="A119" s="5" t="s">
        <v>35</v>
      </c>
      <c r="B119" s="6" t="s">
        <v>35</v>
      </c>
      <c r="C119" s="7">
        <v>75000</v>
      </c>
      <c r="D119" s="1" t="s">
        <v>57</v>
      </c>
      <c r="E119" s="8">
        <v>5200</v>
      </c>
      <c r="F119" s="9">
        <f>SUM(E119:E124)</f>
        <v>24200</v>
      </c>
      <c r="G119" s="9">
        <f>C119-F119</f>
        <v>50800</v>
      </c>
      <c r="H119" s="10">
        <f>IFERROR(G119/C119,0)</f>
        <v>0.67733333333333334</v>
      </c>
    </row>
    <row r="120" spans="1:8">
      <c r="A120" s="11"/>
      <c r="C120" s="13"/>
      <c r="D120" s="14" t="s">
        <v>58</v>
      </c>
      <c r="E120" s="15">
        <v>5200</v>
      </c>
      <c r="F120" s="13"/>
      <c r="G120" s="13"/>
      <c r="H120" s="16"/>
    </row>
    <row r="121" spans="1:8">
      <c r="A121" s="11"/>
      <c r="C121" s="13"/>
      <c r="D121" s="14" t="s">
        <v>58</v>
      </c>
      <c r="E121" s="15">
        <v>5200</v>
      </c>
      <c r="F121" s="13"/>
      <c r="G121" s="13"/>
      <c r="H121" s="16"/>
    </row>
    <row r="122" spans="1:8">
      <c r="A122" s="11"/>
      <c r="C122" s="13"/>
      <c r="D122" s="14" t="s">
        <v>64</v>
      </c>
      <c r="E122" s="15">
        <v>3300</v>
      </c>
      <c r="F122" s="13"/>
      <c r="G122" s="13"/>
      <c r="H122" s="16"/>
    </row>
    <row r="123" spans="1:8">
      <c r="A123" s="11"/>
      <c r="C123" s="13"/>
      <c r="D123" s="14" t="s">
        <v>62</v>
      </c>
      <c r="E123" s="15">
        <v>3900</v>
      </c>
      <c r="F123" s="13"/>
      <c r="G123" s="13"/>
      <c r="H123" s="16"/>
    </row>
    <row r="124" spans="1:8">
      <c r="A124" s="17"/>
      <c r="B124" s="18"/>
      <c r="C124" s="19"/>
      <c r="D124" s="20" t="s">
        <v>63</v>
      </c>
      <c r="E124" s="21">
        <v>1400</v>
      </c>
      <c r="F124" s="19"/>
      <c r="G124" s="19"/>
      <c r="H124" s="22"/>
    </row>
  </sheetData>
  <mergeCells count="2">
    <mergeCell ref="A1:H1"/>
    <mergeCell ref="A2:H2"/>
  </mergeCells>
  <phoneticPr fontId="7" type="noConversion"/>
  <conditionalFormatting sqref="G5:G124">
    <cfRule type="cellIs" dxfId="0" priority="1" operator="lessThan">
      <formula>0</formula>
    </cfRule>
  </conditionalFormatting>
  <pageMargins left="0.7" right="0.7" top="0.75" bottom="0.75" header="0.3" footer="0.3"/>
  <ignoredErrors>
    <ignoredError sqref="F5 F11:F1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Costeo sencillo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gomez serrano</cp:lastModifiedBy>
  <dcterms:modified xsi:type="dcterms:W3CDTF">2026-08-07T15:31:17Z</dcterms:modified>
</cp:coreProperties>
</file>